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1b66695de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112dba97855f4202"/>
    <x:sheet xmlns:r="http://schemas.openxmlformats.org/officeDocument/2006/relationships" name="Gantt semanal" sheetId="2" r:id="Rb46d8beb03f4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 mmm"/>
  </x:numFmts>
  <x:fonts count="8">
    <x:font>
      <x:sz val="11"/>
      <x:name val="Carlito"/>
    </x:font>
    <x:font>
      <x:sz val="10"/>
      <x:color rgb="FF17324D"/>
      <x:name val="Arial"/>
    </x:font>
    <x:font>
      <x:b/>
      <x:sz val="14"/>
      <x:color rgb="FF17324D"/>
      <x:name val="Arial"/>
    </x:font>
    <x:font>
      <x:i/>
      <x:sz val="10"/>
      <x:color rgb="FF53677B"/>
      <x:name val="Arial"/>
    </x:font>
    <x:font>
      <x:b/>
      <x:sz val="10"/>
      <x:color rgb="FFFFFFFF"/>
      <x:name val="Arial"/>
    </x:font>
    <x:font>
      <x:sz val="10"/>
      <x:color rgb="FF23384D"/>
      <x:name val="Arial"/>
    </x:font>
    <x:font>
      <x:b/>
      <x:sz val="10"/>
      <x:color rgb="FF173B5C"/>
      <x:name val="Arial"/>
    </x:font>
    <x:font>
      <x:b/>
      <x:sz val="12"/>
      <x:color rgb="FF2473A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C7"/>
      </x:patternFill>
    </x:fill>
    <x:fill>
      <x:patternFill patternType="solid">
        <x:fgColor rgb="FF173B5C"/>
      </x:patternFill>
    </x:fill>
    <x:fill>
      <x:patternFill patternType="solid">
        <x:fgColor rgb="FFDCEAF5"/>
      </x:patternFill>
    </x:fill>
    <x:fill>
      <x:patternFill patternType="solid">
        <x:fgColor rgb="FFE8F1F8"/>
      </x:patternFill>
    </x:fill>
  </x:fills>
  <x:borders count="4">
    <x:border/>
    <x:border>
      <x:bottom style="thin">
        <x:color rgb="FFDEE6ED"/>
      </x:bottom>
    </x:border>
    <x:border>
      <x:top style="thin">
        <x:color rgb="FFDEE6ED"/>
      </x:top>
      <x:bottom style="thin">
        <x:color rgb="FFDEE6ED"/>
      </x:bottom>
    </x:border>
    <x:border>
      <x:top style="thin">
        <x:color rgb="FFDEE6ED"/>
      </x:top>
    </x:border>
  </x:borders>
  <x:cellStyleXfs count="1">
    <x:xf numFmtId="0" fontId="0" fillId="0" borderId="0"/>
  </x:cellStyleXfs>
  <x:cellXfs count="8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2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2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2" xfId="0" applyNumberFormat="1" applyFont="1" applyFill="1" applyBorder="1" applyAlignment="1">
      <x:alignment horizontal="right"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1" fontId="5" fillId="0" borderId="3" xfId="0" applyNumberFormat="1" applyFont="1" applyFill="1" applyBorder="1" applyAlignment="1">
      <x:alignment horizontal="right" vertical="center"/>
    </x:xf>
    <x:xf numFmtId="200" fontId="5" fillId="0" borderId="3" xfId="0" applyNumberFormat="1" applyFont="1" applyFill="1" applyBorder="1" applyAlignment="1">
      <x:alignment horizontal="right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200" fontId="5" fillId="2" borderId="2" xfId="0" applyNumberFormat="1" applyFont="1" applyFill="1" applyBorder="1" applyAlignment="1">
      <x:alignment horizontal="center" vertical="center"/>
    </x:xf>
    <x:xf numFmtId="200" fontId="5" fillId="2" borderId="3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horizontal="right" vertical="center"/>
    </x:xf>
    <x:xf numFmtId="200" fontId="5" fillId="4" borderId="2" xfId="0" applyNumberFormat="1" applyFont="1" applyFill="1" applyBorder="1" applyAlignment="1">
      <x:alignment horizontal="right" vertical="center"/>
    </x:xf>
    <x:xf numFmtId="0" fontId="6" fillId="4" borderId="2" xfId="0" applyNumberFormat="1" applyFont="1" applyFill="1" applyBorder="1" applyAlignment="1">
      <x:alignment vertical="center"/>
    </x:xf>
    <x:xf numFmtId="200" fontId="6" fillId="4" borderId="2" xfId="0" applyNumberFormat="1" applyFont="1" applyFill="1" applyBorder="1" applyAlignment="1">
      <x:alignment horizontal="center" vertical="center"/>
    </x:xf>
    <x:xf numFmtId="201" fontId="6" fillId="4" borderId="2" xfId="0" applyNumberFormat="1" applyFont="1" applyFill="1" applyBorder="1" applyAlignment="1">
      <x:alignment horizontal="right" vertical="center"/>
    </x:xf>
    <x:xf numFmtId="200" fontId="6" fillId="4" borderId="2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2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1" fontId="5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7" fillId="0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457ad18dd43be" /><Relationship Type="http://schemas.openxmlformats.org/officeDocument/2006/relationships/theme" Target="/xl/theme/theme1.xml" Id="R3153b70ae29946e7" /><Relationship Type="http://schemas.openxmlformats.org/officeDocument/2006/relationships/sharedStrings" Target="/xl/sharedStrings.xml" Id="R978c672db812463a" /><Relationship Type="http://schemas.openxmlformats.org/officeDocument/2006/relationships/worksheet" Target="/xl/worksheets/sheet1.xml" Id="R112dba97855f4202" /><Relationship Type="http://schemas.openxmlformats.org/officeDocument/2006/relationships/worksheet" Target="/xl/worksheets/sheet2.xml" Id="Rb46d8beb03f449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20" hidden="0" customWidth="1"/>
    <x:col min="10" max="10" width="24" hidden="0" customWidth="1"/>
    <x:col min="11" max="11" width="32" hidden="0" customWidth="1"/>
    <x:col min="12" max="12" width="58" hidden="0" customWidth="1"/>
    <x:col min="13" max="13" width="27" hidden="0" customWidth="1"/>
    <x:col min="14" max="14" width="23" hidden="0" customWidth="1"/>
    <x:col min="15" max="15" width="42" hidden="0" customWidth="1"/>
  </x:cols>
  <x:sheetData>
    <x:row r="2">
      <x:c r="A2" s="6" t="str">
        <x:v>Cronograma maestro de desarrollo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7" t="str">
        <x:v>Inicio real: 09/09/2026 · Meta propuesta PROD: 26/02/2027 · V1 enfocada en TM → Precom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7" t="str">
        <x:v>Fechas y roles propuestos requieren validación. Nuevas tareas de identidad y permisos suponen trabajo paralelo; su capacidad e impacto en febrero deben confirmarse.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6" ht="34" customHeight="1">
      <x:c r="A6" s="12" t="str">
        <x:v>ID</x:v>
      </x:c>
      <x:c r="B6" s="12" t="str">
        <x:v>Bloque</x:v>
      </x:c>
      <x:c r="C6" s="12" t="str">
        <x:v>Actividad</x:v>
      </x:c>
      <x:c r="D6" s="12" t="str">
        <x:v>Tipo</x:v>
      </x:c>
      <x:c r="E6" s="12" t="str">
        <x:v>Estado</x:v>
      </x:c>
      <x:c r="F6" s="12" t="str">
        <x:v>Inicio</x:v>
      </x:c>
      <x:c r="G6" s="12" t="str">
        <x:v>Fin</x:v>
      </x:c>
      <x:c r="H6" s="12" t="str">
        <x:v>Duración (días calendario)</x:v>
      </x:c>
      <x:c r="I6" s="12" t="str">
        <x:v>Semana cierre (lunes)</x:v>
      </x:c>
      <x:c r="J6" s="12" t="str">
        <x:v>Dependencia</x:v>
      </x:c>
      <x:c r="K6" s="12" t="str">
        <x:v>Entregable</x:v>
      </x:c>
      <x:c r="L6" s="12" t="str">
        <x:v>Criterio de aceptación</x:v>
      </x:c>
      <x:c r="M6" s="12" t="str">
        <x:v>Responsable (rol propuesto)</x:v>
      </x:c>
      <x:c r="N6" s="12" t="str">
        <x:v>Persona confirmada</x:v>
      </x:c>
      <x:c r="O6" s="12" t="str">
        <x:v>Observaciones</x:v>
      </x:c>
    </x:row>
    <x:row r="7" ht="26" customHeight="1">
      <x:c r="A7" s="23" t="str">
        <x:v>LM-01</x:v>
      </x:c>
      <x:c r="B7" s="23" t="str">
        <x:v>Levantamiento del modelo inicial</x:v>
      </x:c>
      <x:c r="C7" s="23" t="str">
        <x:v>Revisar Matriz TM&amp;PC</x:v>
      </x:c>
      <x:c r="D7" s="23" t="str">
        <x:v>Actividad</x:v>
      </x:c>
      <x:c r="E7" s="23" t="str">
        <x:v>Realizado</x:v>
      </x:c>
      <x:c r="F7" s="44" t="n">
        <x:v>46274</x:v>
      </x:c>
      <x:c r="G7" s="44" t="n">
        <x:v>46274</x:v>
      </x:c>
      <x:c r="H7" s="38" t="n">
        <x:f>G7-F7+1</x:f>
        <x:v>1</x:v>
      </x:c>
      <x:c r="I7" s="39" t="n">
        <x:f>G7-WEEKDAY(G7,2)+1</x:f>
        <x:v>46272</x:v>
      </x:c>
      <x:c r="J7" s="23" t="str">
        <x:v>—</x:v>
      </x:c>
      <x:c r="K7" s="23" t="str">
        <x:v>Análisis histórico documentado</x:v>
      </x:c>
      <x:c r="L7" s="23" t="str">
        <x:v>Análisis disponible; no se adopta como fuente funcional vigente</x:v>
      </x:c>
      <x:c r="M7" s="23" t="str">
        <x:v>Análisis funcional</x:v>
      </x:c>
      <x:c r="N7" s="27" t="str"/>
      <x:c r="O7" s="23" t="str">
        <x:v>Registro consolidado en Git 30d985e</x:v>
      </x:c>
    </x:row>
    <x:row r="8" ht="26" customHeight="1">
      <x:c r="A8" s="28" t="str">
        <x:v>LM-02</x:v>
      </x:c>
      <x:c r="B8" s="28" t="str">
        <x:v>Levantamiento del modelo inicial</x:v>
      </x:c>
      <x:c r="C8" s="28" t="str">
        <x:v>Revisar modelo HTML</x:v>
      </x:c>
      <x:c r="D8" s="28" t="str">
        <x:v>Actividad</x:v>
      </x:c>
      <x:c r="E8" s="28" t="str">
        <x:v>Realizado</x:v>
      </x:c>
      <x:c r="F8" s="45" t="n">
        <x:v>46274</x:v>
      </x:c>
      <x:c r="G8" s="45" t="n">
        <x:v>46274</x:v>
      </x:c>
      <x:c r="H8" s="40" t="n">
        <x:f>G8-F8+1</x:f>
        <x:v>1</x:v>
      </x:c>
      <x:c r="I8" s="41" t="n">
        <x:f>G8-WEEKDAY(G8,2)+1</x:f>
        <x:v>46272</x:v>
      </x:c>
      <x:c r="J8" s="28" t="str">
        <x:v>—</x:v>
      </x:c>
      <x:c r="K8" s="28" t="str">
        <x:v>Demo oficial y análisis funcional</x:v>
      </x:c>
      <x:c r="L8" s="28" t="str">
        <x:v>Demo incorporada al repositorio y alcance documentado</x:v>
      </x:c>
      <x:c r="M8" s="28" t="str">
        <x:v>Análisis funcional</x:v>
      </x:c>
      <x:c r="N8" s="32" t="str"/>
      <x:c r="O8" s="28" t="str">
        <x:v>Demo oficial versionada en Git 7ff24ee</x:v>
      </x:c>
    </x:row>
    <x:row r="9" ht="26" customHeight="1">
      <x:c r="A9" s="28" t="str">
        <x:v>LM-03</x:v>
      </x:c>
      <x:c r="B9" s="28" t="str">
        <x:v>Levantamiento del modelo inicial</x:v>
      </x:c>
      <x:c r="C9" s="28" t="str">
        <x:v>Construcción de diagrama entidad relación</x:v>
      </x:c>
      <x:c r="D9" s="28" t="str">
        <x:v>Actividad</x:v>
      </x:c>
      <x:c r="E9" s="28" t="str">
        <x:v>Realizado</x:v>
      </x:c>
      <x:c r="F9" s="45" t="n">
        <x:v>46274</x:v>
      </x:c>
      <x:c r="G9" s="45" t="n">
        <x:v>46277</x:v>
      </x:c>
      <x:c r="H9" s="40" t="n">
        <x:f>G9-F9+1</x:f>
        <x:v>4</x:v>
      </x:c>
      <x:c r="I9" s="41" t="n">
        <x:f>G9-WEEKDAY(G9,2)+1</x:f>
        <x:v>46272</x:v>
      </x:c>
      <x:c r="J9" s="28" t="str">
        <x:v>LM-01; LM-02</x:v>
      </x:c>
      <x:c r="K9" s="28" t="str">
        <x:v>Diagrama conceptual DC-001</x:v>
      </x:c>
      <x:c r="L9" s="28" t="str">
        <x:v>Diagrama disponible y versionado para revisión del cliente</x:v>
      </x:c>
      <x:c r="M9" s="28" t="str">
        <x:v>Diseño funcional</x:v>
      </x:c>
      <x:c r="N9" s="32" t="str"/>
      <x:c r="O9" s="28" t="str">
        <x:v>Diagrama conceptual en Git 887581f; pendiente aprobación cliente</x:v>
      </x:c>
    </x:row>
    <x:row r="10" ht="26" customHeight="1">
      <x:c r="A10" s="28" t="str">
        <x:v>LM-04</x:v>
      </x:c>
      <x:c r="B10" s="28" t="str">
        <x:v>Levantamiento del modelo inicial</x:v>
      </x:c>
      <x:c r="C10" s="28" t="str">
        <x:v>Validar modelo y alcance con el cliente</x:v>
      </x:c>
      <x:c r="D10" s="28" t="str">
        <x:v>Actividad</x:v>
      </x:c>
      <x:c r="E10" s="28" t="str">
        <x:v>Propuesto</x:v>
      </x:c>
      <x:c r="F10" s="45" t="n">
        <x:v>46281</x:v>
      </x:c>
      <x:c r="G10" s="45" t="n">
        <x:v>46296</x:v>
      </x:c>
      <x:c r="H10" s="40" t="n">
        <x:f>G10-F10+1</x:f>
        <x:v>16</x:v>
      </x:c>
      <x:c r="I10" s="41" t="n">
        <x:f>G10-WEEKDAY(G10,2)+1</x:f>
        <x:v>46293</x:v>
      </x:c>
      <x:c r="J10" s="28" t="str">
        <x:v>LM-03</x:v>
      </x:c>
      <x:c r="K10" s="28" t="str">
        <x:v>Modelo y alcance validados</x:v>
      </x:c>
      <x:c r="L10" s="28" t="str">
        <x:v>Cliente confirma relaciones, módulos, exclusiones y versión productiva inicial</x:v>
      </x:c>
      <x:c r="M10" s="28" t="str">
        <x:v>Cliente / producto</x:v>
      </x:c>
      <x:c r="N10" s="32" t="str"/>
      <x:c r="O10" s="28" t="str">
        <x:v>Fecha sujeta a agenda del cliente</x:v>
      </x:c>
    </x:row>
    <x:row r="11" ht="26" customHeight="1">
      <x:c r="A11" s="28" t="str">
        <x:v>LM-05</x:v>
      </x:c>
      <x:c r="B11" s="28" t="str">
        <x:v>Levantamiento del modelo inicial</x:v>
      </x:c>
      <x:c r="C11" s="28" t="str">
        <x:v>Definir perfiles y accesos a plataforma y proyectos</x:v>
      </x:c>
      <x:c r="D11" s="28" t="str">
        <x:v>Actividad</x:v>
      </x:c>
      <x:c r="E11" s="28" t="str">
        <x:v>Propuesto</x:v>
      </x:c>
      <x:c r="F11" s="45" t="n">
        <x:v>46281</x:v>
      </x:c>
      <x:c r="G11" s="45" t="n">
        <x:v>46296</x:v>
      </x:c>
      <x:c r="H11" s="40" t="n">
        <x:f>G11-F11+1</x:f>
        <x:v>16</x:v>
      </x:c>
      <x:c r="I11" s="41" t="n">
        <x:f>G11-WEEKDAY(G11,2)+1</x:f>
        <x:v>46293</x:v>
      </x:c>
      <x:c r="J11" s="28" t="str">
        <x:v>LM-04 (trabajo en paralelo)</x:v>
      </x:c>
      <x:c r="K11" s="28" t="str">
        <x:v>Matriz perfil × acción × proyecto</x:v>
      </x:c>
      <x:c r="L11" s="28" t="str">
        <x:v>Cliente aprueba perfiles, permisos por acción, alcance de cada proyecto y responsables de altas/bajas</x:v>
      </x:c>
      <x:c r="M11" s="28" t="str">
        <x:v>Cliente / producto</x:v>
      </x:c>
      <x:c r="N11" s="32" t="str"/>
      <x:c r="O11" s="28" t="str">
        <x:v>Decidir acceso a uno o varios proyectos; usuarios externos; administrador global; MFA/SSO</x:v>
      </x:c>
    </x:row>
    <x:row r="12" ht="26" customHeight="1">
      <x:c r="A12" s="51" t="str">
        <x:v>LM-H1</x:v>
      </x:c>
      <x:c r="B12" s="51" t="str">
        <x:v>Levantamiento del modelo inicial</x:v>
      </x:c>
      <x:c r="C12" s="51" t="str">
        <x:v>Hito: Aprobaciòn del modelo de la plataforma</x:v>
      </x:c>
      <x:c r="D12" s="51" t="str">
        <x:v>Hito</x:v>
      </x:c>
      <x:c r="E12" s="51" t="str">
        <x:v>Propuesto</x:v>
      </x:c>
      <x:c r="F12" s="52" t="n">
        <x:v>46297</x:v>
      </x:c>
      <x:c r="G12" s="52" t="n">
        <x:v>46297</x:v>
      </x:c>
      <x:c r="H12" s="53" t="n">
        <x:f>G12-F12+1</x:f>
        <x:v>1</x:v>
      </x:c>
      <x:c r="I12" s="54" t="n">
        <x:f>G12-WEEKDAY(G12,2)+1</x:f>
        <x:v>46293</x:v>
      </x:c>
      <x:c r="J12" s="51" t="str">
        <x:v>LM-04; LM-05</x:v>
      </x:c>
      <x:c r="K12" s="51" t="str">
        <x:v>Acta o aprobación formal</x:v>
      </x:c>
      <x:c r="L12" s="51" t="str">
        <x:v>Aprobación escrita del modelo, alcance V1, matriz de permisos y criterios de aceptación</x:v>
      </x:c>
      <x:c r="M12" s="51" t="str">
        <x:v>Cliente / producto</x:v>
      </x:c>
      <x:c r="N12" s="51" t="str"/>
      <x:c r="O12" s="51" t="str">
        <x:v>Gate para iniciar construcción</x:v>
      </x:c>
    </x:row>
    <x:row r="13" ht="26" customHeight="1">
      <x:c r="A13" s="28" t="str">
        <x:v>PA-01</x:v>
      </x:c>
      <x:c r="B13" s="28" t="str">
        <x:v>Preparación de ambiente de trabajo</x:v>
      </x:c>
      <x:c r="C13" s="28" t="str">
        <x:v>Revisión de arquitectura, ambientes y seguridad</x:v>
      </x:c>
      <x:c r="D13" s="28" t="str">
        <x:v>Actividad</x:v>
      </x:c>
      <x:c r="E13" s="28" t="str">
        <x:v>Propuesto</x:v>
      </x:c>
      <x:c r="F13" s="45" t="n">
        <x:v>46293</x:v>
      </x:c>
      <x:c r="G13" s="45" t="n">
        <x:v>46304</x:v>
      </x:c>
      <x:c r="H13" s="40" t="n">
        <x:f>G13-F13+1</x:f>
        <x:v>12</x:v>
      </x:c>
      <x:c r="I13" s="41" t="n">
        <x:f>G13-WEEKDAY(G13,2)+1</x:f>
        <x:v>46300</x:v>
      </x:c>
      <x:c r="J13" s="28" t="str">
        <x:v>LM-04; LM-05 (definición parcial)</x:v>
      </x:c>
      <x:c r="K13" s="28" t="str">
        <x:v>Arquitectura y ambientes definidos</x:v>
      </x:c>
      <x:c r="L13" s="28" t="str">
        <x:v>Arquitectura, DEV/QA/PROD, identidad, sesiones y controles de acceso documentados</x:v>
      </x:c>
      <x:c r="M13" s="28" t="str">
        <x:v>Líder técnico</x:v>
      </x:c>
      <x:c r="N13" s="32" t="str"/>
      <x:c r="O13" s="28" t="str">
        <x:v>Puede avanzar en paralelo; definición final requiere aprobación del cliente</x:v>
      </x:c>
    </x:row>
    <x:row r="14" ht="26" customHeight="1">
      <x:c r="A14" s="28" t="str">
        <x:v>PA-02</x:v>
      </x:c>
      <x:c r="B14" s="28" t="str">
        <x:v>Preparación de ambiente de trabajo</x:v>
      </x:c>
      <x:c r="C14" s="28" t="str">
        <x:v>Configuración IDE</x:v>
      </x:c>
      <x:c r="D14" s="28" t="str">
        <x:v>Actividad</x:v>
      </x:c>
      <x:c r="E14" s="28" t="str">
        <x:v>Propuesto</x:v>
      </x:c>
      <x:c r="F14" s="45" t="n">
        <x:v>46300</x:v>
      </x:c>
      <x:c r="G14" s="45" t="n">
        <x:v>46304</x:v>
      </x:c>
      <x:c r="H14" s="40" t="n">
        <x:f>G14-F14+1</x:f>
        <x:v>5</x:v>
      </x:c>
      <x:c r="I14" s="41" t="n">
        <x:f>G14-WEEKDAY(G14,2)+1</x:f>
        <x:v>46300</x:v>
      </x:c>
      <x:c r="J14" s="28" t="str">
        <x:v>PA-01</x:v>
      </x:c>
      <x:c r="K14" s="28" t="str">
        <x:v>Entorno local de desarrollo</x:v>
      </x:c>
      <x:c r="L14" s="28" t="str">
        <x:v>Proyecto abre y ejecuta comprobaciones básicas en equipo de desarrollo</x:v>
      </x:c>
      <x:c r="M14" s="28" t="str">
        <x:v>Equipo desarrollo</x:v>
      </x:c>
      <x:c r="N14" s="32" t="str"/>
      <x:c r="O14" s="28" t="str"/>
    </x:row>
    <x:row r="15" ht="26" customHeight="1">
      <x:c r="A15" s="28" t="str">
        <x:v>PA-03</x:v>
      </x:c>
      <x:c r="B15" s="28" t="str">
        <x:v>Preparación de ambiente de trabajo</x:v>
      </x:c>
      <x:c r="C15" s="28" t="str">
        <x:v>Instalaciòn de librerias backend y frontend</x:v>
      </x:c>
      <x:c r="D15" s="28" t="str">
        <x:v>Actividad</x:v>
      </x:c>
      <x:c r="E15" s="28" t="str">
        <x:v>Propuesto</x:v>
      </x:c>
      <x:c r="F15" s="45" t="n">
        <x:v>46302</x:v>
      </x:c>
      <x:c r="G15" s="45" t="n">
        <x:v>46311</x:v>
      </x:c>
      <x:c r="H15" s="40" t="n">
        <x:f>G15-F15+1</x:f>
        <x:v>10</x:v>
      </x:c>
      <x:c r="I15" s="41" t="n">
        <x:f>G15-WEEKDAY(G15,2)+1</x:f>
        <x:v>46307</x:v>
      </x:c>
      <x:c r="J15" s="28" t="str">
        <x:v>PA-01</x:v>
      </x:c>
      <x:c r="K15" s="28" t="str">
        <x:v>Dependencias fijadas</x:v>
      </x:c>
      <x:c r="L15" s="28" t="str">
        <x:v>Backend y frontend instalan y ejecutan pruebas/build reproducibles</x:v>
      </x:c>
      <x:c r="M15" s="28" t="str">
        <x:v>Equipo desarrollo</x:v>
      </x:c>
      <x:c r="N15" s="32" t="str"/>
      <x:c r="O15" s="28" t="str">
        <x:v>Versiones y licencias se aprobarán en arquitectura</x:v>
      </x:c>
    </x:row>
    <x:row r="16" ht="26" customHeight="1">
      <x:c r="A16" s="28" t="str">
        <x:v>PA-04</x:v>
      </x:c>
      <x:c r="B16" s="28" t="str">
        <x:v>Preparación de ambiente de trabajo</x:v>
      </x:c>
      <x:c r="C16" s="28" t="str">
        <x:v>Construcción de repositorio del proyecto en Github</x:v>
      </x:c>
      <x:c r="D16" s="28" t="str">
        <x:v>Actividad</x:v>
      </x:c>
      <x:c r="E16" s="28" t="str">
        <x:v>Propuesto</x:v>
      </x:c>
      <x:c r="F16" s="45" t="n">
        <x:v>46300</x:v>
      </x:c>
      <x:c r="G16" s="45" t="n">
        <x:v>46311</x:v>
      </x:c>
      <x:c r="H16" s="40" t="n">
        <x:f>G16-F16+1</x:f>
        <x:v>12</x:v>
      </x:c>
      <x:c r="I16" s="41" t="n">
        <x:f>G16-WEEKDAY(G16,2)+1</x:f>
        <x:v>46307</x:v>
      </x:c>
      <x:c r="J16" s="28" t="str">
        <x:v>PA-01</x:v>
      </x:c>
      <x:c r="K16" s="28" t="str">
        <x:v>Repositorio remoto privado</x:v>
      </x:c>
      <x:c r="L16" s="28" t="str">
        <x:v>Historial local publicado; acceso, ramas y protección definidos</x:v>
      </x:c>
      <x:c r="M16" s="28" t="str">
        <x:v>Líder técnico</x:v>
      </x:c>
      <x:c r="N16" s="32" t="str"/>
      <x:c r="O16" s="28" t="str">
        <x:v>No crear el remoto hasta definir cuenta y permisos</x:v>
      </x:c>
    </x:row>
    <x:row r="17" ht="26" customHeight="1">
      <x:c r="A17" s="51" t="str">
        <x:v>PA-H2</x:v>
      </x:c>
      <x:c r="B17" s="51" t="str">
        <x:v>Preparación de ambiente de trabajo</x:v>
      </x:c>
      <x:c r="C17" s="51" t="str">
        <x:v>Hito: ambiente de trabajo operativo</x:v>
      </x:c>
      <x:c r="D17" s="51" t="str">
        <x:v>Hito</x:v>
      </x:c>
      <x:c r="E17" s="51" t="str">
        <x:v>Propuesto</x:v>
      </x:c>
      <x:c r="F17" s="52" t="n">
        <x:v>46311</x:v>
      </x:c>
      <x:c r="G17" s="52" t="n">
        <x:v>46311</x:v>
      </x:c>
      <x:c r="H17" s="53" t="n">
        <x:f>G17-F17+1</x:f>
        <x:v>1</x:v>
      </x:c>
      <x:c r="I17" s="54" t="n">
        <x:f>G17-WEEKDAY(G17,2)+1</x:f>
        <x:v>46307</x:v>
      </x:c>
      <x:c r="J17" s="51" t="str">
        <x:v>PA-02; PA-03; PA-04</x:v>
      </x:c>
      <x:c r="K17" s="51" t="str">
        <x:v>Base técnica operativa</x:v>
      </x:c>
      <x:c r="L17" s="51" t="str">
        <x:v>Repositorio, dependencias, DEV y automatizaciones mínimas verificadas</x:v>
      </x:c>
      <x:c r="M17" s="51" t="str">
        <x:v>Líder técnico</x:v>
      </x:c>
      <x:c r="N17" s="51" t="str"/>
      <x:c r="O17" s="51" t="str"/>
    </x:row>
    <x:row r="18" ht="26" customHeight="1">
      <x:c r="A18" s="28" t="str">
        <x:v>CO-01</x:v>
      </x:c>
      <x:c r="B18" s="28" t="str">
        <x:v>Construcción</x:v>
      </x:c>
      <x:c r="C18" s="28" t="str">
        <x:v>Proyecto</x:v>
      </x:c>
      <x:c r="D18" s="28" t="str">
        <x:v>Actividad</x:v>
      </x:c>
      <x:c r="E18" s="28" t="str">
        <x:v>Propuesto</x:v>
      </x:c>
      <x:c r="F18" s="45" t="n">
        <x:v>46314</x:v>
      </x:c>
      <x:c r="G18" s="45" t="n">
        <x:v>46325</x:v>
      </x:c>
      <x:c r="H18" s="40" t="n">
        <x:f>G18-F18+1</x:f>
        <x:v>12</x:v>
      </x:c>
      <x:c r="I18" s="41" t="n">
        <x:f>G18-WEEKDAY(G18,2)+1</x:f>
        <x:v>46321</x:v>
      </x:c>
      <x:c r="J18" s="28" t="str">
        <x:v>PA-H2</x:v>
      </x:c>
      <x:c r="K18" s="28" t="str">
        <x:v>Módulo Proyecto</x:v>
      </x:c>
      <x:c r="L18" s="28" t="str">
        <x:v>Crear, consultar y configurar proyecto según modelo aprobado; pruebas pasan</x:v>
      </x:c>
      <x:c r="M18" s="28" t="str">
        <x:v>Equipo desarrollo</x:v>
      </x:c>
      <x:c r="N18" s="32" t="str"/>
      <x:c r="O18" s="28" t="str">
        <x:v>Incluye formulario, API y reglas</x:v>
      </x:c>
    </x:row>
    <x:row r="19" ht="26" customHeight="1">
      <x:c r="A19" s="28" t="str">
        <x:v>CO-10</x:v>
      </x:c>
      <x:c r="B19" s="28" t="str">
        <x:v>Construcción</x:v>
      </x:c>
      <x:c r="C19" s="28" t="str">
        <x:v>Inicio de sesión y recuperación de acceso</x:v>
      </x:c>
      <x:c r="D19" s="28" t="str">
        <x:v>Actividad</x:v>
      </x:c>
      <x:c r="E19" s="28" t="str">
        <x:v>Propuesto</x:v>
      </x:c>
      <x:c r="F19" s="45" t="n">
        <x:v>46314</x:v>
      </x:c>
      <x:c r="G19" s="45" t="n">
        <x:v>46332</x:v>
      </x:c>
      <x:c r="H19" s="40" t="n">
        <x:f>G19-F19+1</x:f>
        <x:v>19</x:v>
      </x:c>
      <x:c r="I19" s="41" t="n">
        <x:f>G19-WEEKDAY(G19,2)+1</x:f>
        <x:v>46328</x:v>
      </x:c>
      <x:c r="J19" s="28" t="str">
        <x:v>PA-H2; LM-H1</x:v>
      </x:c>
      <x:c r="K19" s="28" t="str">
        <x:v>Autenticación y sesiones</x:v>
      </x:c>
      <x:c r="L19" s="28" t="str">
        <x:v>Usuario autorizado inicia/cierra sesión; acceso caduca; recuperación funciona; errores no revelan cuentas</x:v>
      </x:c>
      <x:c r="M19" s="28" t="str">
        <x:v>Equipo backend / frontend</x:v>
      </x:c>
      <x:c r="N19" s="32" t="str"/>
      <x:c r="O19" s="28" t="str">
        <x:v>Validar con cliente: credenciales locales, SSO y MFA; estimación asume opción simple</x:v>
      </x:c>
    </x:row>
    <x:row r="20" ht="26" customHeight="1">
      <x:c r="A20" s="28" t="str">
        <x:v>CO-11</x:v>
      </x:c>
      <x:c r="B20" s="28" t="str">
        <x:v>Construcción</x:v>
      </x:c>
      <x:c r="C20" s="28" t="str">
        <x:v>Usuarios, perfiles y permisos por proyecto</x:v>
      </x:c>
      <x:c r="D20" s="28" t="str">
        <x:v>Actividad</x:v>
      </x:c>
      <x:c r="E20" s="28" t="str">
        <x:v>Propuesto</x:v>
      </x:c>
      <x:c r="F20" s="45" t="n">
        <x:v>46321</x:v>
      </x:c>
      <x:c r="G20" s="45" t="n">
        <x:v>46346</x:v>
      </x:c>
      <x:c r="H20" s="40" t="n">
        <x:f>G20-F20+1</x:f>
        <x:v>26</x:v>
      </x:c>
      <x:c r="I20" s="41" t="n">
        <x:f>G20-WEEKDAY(G20,2)+1</x:f>
        <x:v>46342</x:v>
      </x:c>
      <x:c r="J20" s="28" t="str">
        <x:v>LM-05; CO-01 (proyecto disponible parcialmente); CO-10 (identidad disponible parcialmente)</x:v>
      </x:c>
      <x:c r="K20" s="28" t="str">
        <x:v>Administración de usuarios y accesos</x:v>
      </x:c>
      <x:c r="L20" s="28" t="str">
        <x:v>Administrador asigna/revoca perfil y proyecto; API y UI niegan acciones no autorizadas; datos de otros proyectos no se muestran</x:v>
      </x:c>
      <x:c r="M20" s="28" t="str">
        <x:v>Equipo backend / frontend</x:v>
      </x:c>
      <x:c r="N20" s="32" t="str"/>
      <x:c r="O20" s="28" t="str">
        <x:v>Incluye altas/bajas, roles de plataforma y proyecto, acceso a documentos y prueba de aislamiento</x:v>
      </x:c>
    </x:row>
    <x:row r="21" ht="26" customHeight="1">
      <x:c r="A21" s="28" t="str">
        <x:v>CO-02</x:v>
      </x:c>
      <x:c r="B21" s="28" t="str">
        <x:v>Construcción</x:v>
      </x:c>
      <x:c r="C21" s="28" t="str">
        <x:v>Activos</x:v>
      </x:c>
      <x:c r="D21" s="28" t="str">
        <x:v>Actividad</x:v>
      </x:c>
      <x:c r="E21" s="28" t="str">
        <x:v>Propuesto</x:v>
      </x:c>
      <x:c r="F21" s="45" t="n">
        <x:v>46321</x:v>
      </x:c>
      <x:c r="G21" s="45" t="n">
        <x:v>46339</x:v>
      </x:c>
      <x:c r="H21" s="40" t="n">
        <x:f>G21-F21+1</x:f>
        <x:v>19</x:v>
      </x:c>
      <x:c r="I21" s="41" t="n">
        <x:f>G21-WEEKDAY(G21,2)+1</x:f>
        <x:v>46335</x:v>
      </x:c>
      <x:c r="J21" s="28" t="str">
        <x:v>CO-01</x:v>
      </x:c>
      <x:c r="K21" s="28" t="str">
        <x:v>Módulo Activos</x:v>
      </x:c>
      <x:c r="L21" s="28" t="str">
        <x:v>Crear, consultar, clasificar y vincular TAG a proyecto sin fuga entre proyectos</x:v>
      </x:c>
      <x:c r="M21" s="28" t="str">
        <x:v>Equipo desarrollo</x:v>
      </x:c>
      <x:c r="N21" s="32" t="str"/>
      <x:c r="O21" s="28" t="str">
        <x:v>Incluye formulario, API y reglas</x:v>
      </x:c>
    </x:row>
    <x:row r="22" ht="26" customHeight="1">
      <x:c r="A22" s="28" t="str">
        <x:v>CO-03</x:v>
      </x:c>
      <x:c r="B22" s="28" t="str">
        <x:v>Construcción</x:v>
      </x:c>
      <x:c r="C22" s="28" t="str">
        <x:v>Etapas y Especialidades</x:v>
      </x:c>
      <x:c r="D22" s="28" t="str">
        <x:v>Actividad</x:v>
      </x:c>
      <x:c r="E22" s="28" t="str">
        <x:v>Propuesto</x:v>
      </x:c>
      <x:c r="F22" s="45" t="n">
        <x:v>46335</x:v>
      </x:c>
      <x:c r="G22" s="45" t="n">
        <x:v>46353</x:v>
      </x:c>
      <x:c r="H22" s="40" t="n">
        <x:f>G22-F22+1</x:f>
        <x:v>19</x:v>
      </x:c>
      <x:c r="I22" s="41" t="n">
        <x:f>G22-WEEKDAY(G22,2)+1</x:f>
        <x:v>46349</x:v>
      </x:c>
      <x:c r="J22" s="28" t="str">
        <x:v>CO-01; CO-02</x:v>
      </x:c>
      <x:c r="K22" s="28" t="str">
        <x:v>Configuración de etapas</x:v>
      </x:c>
      <x:c r="L22" s="28" t="str">
        <x:v>Proyecto presenta TM, Precom, Com y PEM y cuatro especialidades aprobadas</x:v>
      </x:c>
      <x:c r="M22" s="28" t="str">
        <x:v>Equipo desarrollo</x:v>
      </x:c>
      <x:c r="N22" s="32" t="str"/>
      <x:c r="O22" s="28" t="str">
        <x:v>No implica operación completa de Com/PEM</x:v>
      </x:c>
    </x:row>
    <x:row r="23" ht="26" customHeight="1">
      <x:c r="A23" s="28" t="str">
        <x:v>CO-04</x:v>
      </x:c>
      <x:c r="B23" s="28" t="str">
        <x:v>Construcción</x:v>
      </x:c>
      <x:c r="C23" s="28" t="str">
        <x:v>Puntos de Control y aplicabilidad</x:v>
      </x:c>
      <x:c r="D23" s="28" t="str">
        <x:v>Actividad</x:v>
      </x:c>
      <x:c r="E23" s="28" t="str">
        <x:v>Propuesto</x:v>
      </x:c>
      <x:c r="F23" s="45" t="n">
        <x:v>46349</x:v>
      </x:c>
      <x:c r="G23" s="45" t="n">
        <x:v>46374</x:v>
      </x:c>
      <x:c r="H23" s="40" t="n">
        <x:f>G23-F23+1</x:f>
        <x:v>26</x:v>
      </x:c>
      <x:c r="I23" s="41" t="n">
        <x:f>G23-WEEKDAY(G23,2)+1</x:f>
        <x:v>46370</x:v>
      </x:c>
      <x:c r="J23" s="28" t="str">
        <x:v>CO-02; CO-03</x:v>
      </x:c>
      <x:c r="K23" s="28" t="str">
        <x:v>Catálogo y asignación de controles</x:v>
      </x:c>
      <x:c r="L23" s="28" t="str">
        <x:v>Controles por etapa/especialidad; aplicabilidad/N-A por activo; reglas probadas</x:v>
      </x:c>
      <x:c r="M23" s="28" t="str">
        <x:v>Equipo desarrollo</x:v>
      </x:c>
      <x:c r="N23" s="32" t="str"/>
      <x:c r="O23" s="28" t="str">
        <x:v>Catálogo único pendiente de validación</x:v>
      </x:c>
    </x:row>
    <x:row r="24" ht="26" customHeight="1">
      <x:c r="A24" s="28" t="str">
        <x:v>CO-05</x:v>
      </x:c>
      <x:c r="B24" s="28" t="str">
        <x:v>Construcción</x:v>
      </x:c>
      <x:c r="C24" s="28" t="str">
        <x:v>Resultados , protocolos y evidencias</x:v>
      </x:c>
      <x:c r="D24" s="28" t="str">
        <x:v>Actividad</x:v>
      </x:c>
      <x:c r="E24" s="28" t="str">
        <x:v>Propuesto</x:v>
      </x:c>
      <x:c r="F24" s="45" t="n">
        <x:v>46370</x:v>
      </x:c>
      <x:c r="G24" s="45" t="n">
        <x:v>46402</x:v>
      </x:c>
      <x:c r="H24" s="40" t="n">
        <x:f>G24-F24+1</x:f>
        <x:v>33</x:v>
      </x:c>
      <x:c r="I24" s="41" t="n">
        <x:f>G24-WEEKDAY(G24,2)+1</x:f>
        <x:v>46398</x:v>
      </x:c>
      <x:c r="J24" s="28" t="str">
        <x:v>CO-04</x:v>
      </x:c>
      <x:c r="K24" s="28" t="str">
        <x:v>Registro y evidencia TM</x:v>
      </x:c>
      <x:c r="L24" s="28" t="str">
        <x:v>Resultado, protocolo y versión documental vinculados a activo/control</x:v>
      </x:c>
      <x:c r="M24" s="28" t="str">
        <x:v>Equipo desarrollo</x:v>
      </x:c>
      <x:c r="N24" s="32" t="str"/>
      <x:c r="O24" s="28" t="str">
        <x:v>Considerar disponibilidad en diciembre/enero</x:v>
      </x:c>
    </x:row>
    <x:row r="25" ht="26" customHeight="1">
      <x:c r="A25" s="28" t="str">
        <x:v>CO-06</x:v>
      </x:c>
      <x:c r="B25" s="28" t="str">
        <x:v>Construcción</x:v>
      </x:c>
      <x:c r="C25" s="28" t="str">
        <x:v>Aprobaciones, entregas y traspasos</x:v>
      </x:c>
      <x:c r="D25" s="28" t="str">
        <x:v>Actividad</x:v>
      </x:c>
      <x:c r="E25" s="28" t="str">
        <x:v>Propuesto</x:v>
      </x:c>
      <x:c r="F25" s="45" t="n">
        <x:v>46391</x:v>
      </x:c>
      <x:c r="G25" s="45" t="n">
        <x:v>46416</x:v>
      </x:c>
      <x:c r="H25" s="40" t="n">
        <x:f>G25-F25+1</x:f>
        <x:v>26</x:v>
      </x:c>
      <x:c r="I25" s="41" t="n">
        <x:f>G25-WEEKDAY(G25,2)+1</x:f>
        <x:v>46412</x:v>
      </x:c>
      <x:c r="J25" s="28" t="str">
        <x:v>CO-04; CO-05</x:v>
      </x:c>
      <x:c r="K25" s="28" t="str">
        <x:v>Flujo TM → Precom</x:v>
      </x:c>
      <x:c r="L25" s="28" t="str">
        <x:v>Líder aprueba/rechaza; entrega creada; receptor acepta/rechaza; historial conservado</x:v>
      </x:c>
      <x:c r="M25" s="28" t="str">
        <x:v>Equipo desarrollo</x:v>
      </x:c>
      <x:c r="N25" s="32" t="str"/>
      <x:c r="O25" s="28" t="str">
        <x:v>Flujos posteriores requieren definición adicional</x:v>
      </x:c>
    </x:row>
    <x:row r="26" ht="26" customHeight="1">
      <x:c r="A26" s="28" t="str">
        <x:v>CO-07</x:v>
      </x:c>
      <x:c r="B26" s="28" t="str">
        <x:v>Construcción</x:v>
      </x:c>
      <x:c r="C26" s="28" t="str">
        <x:v>Diseño de formularios</x:v>
      </x:c>
      <x:c r="D26" s="28" t="str">
        <x:v>Transversal</x:v>
      </x:c>
      <x:c r="E26" s="28" t="str">
        <x:v>Propuesto</x:v>
      </x:c>
      <x:c r="F26" s="45" t="n">
        <x:v>46314</x:v>
      </x:c>
      <x:c r="G26" s="45" t="n">
        <x:v>46416</x:v>
      </x:c>
      <x:c r="H26" s="40" t="n">
        <x:f>G26-F26+1</x:f>
        <x:v>103</x:v>
      </x:c>
      <x:c r="I26" s="41" t="n">
        <x:f>G26-WEEKDAY(G26,2)+1</x:f>
        <x:v>46412</x:v>
      </x:c>
      <x:c r="J26" s="28" t="str">
        <x:v>CO-01 a CO-06</x:v>
      </x:c>
      <x:c r="K26" s="28" t="str">
        <x:v>Formularios por componente</x:v>
      </x:c>
      <x:c r="L26" s="28" t="str">
        <x:v>Cada componente dispone de campos, validaciones y navegación aprobados</x:v>
      </x:c>
      <x:c r="M26" s="28" t="str">
        <x:v>Diseño UX / desarrollo</x:v>
      </x:c>
      <x:c r="N26" s="32" t="str"/>
      <x:c r="O26" s="28" t="str">
        <x:v>Actividad transversal dentro de cada módulo</x:v>
      </x:c>
    </x:row>
    <x:row r="27" ht="26" customHeight="1">
      <x:c r="A27" s="28" t="str">
        <x:v>CO-08</x:v>
      </x:c>
      <x:c r="B27" s="28" t="str">
        <x:v>Construcción</x:v>
      </x:c>
      <x:c r="C27" s="28" t="str">
        <x:v>Construcciòn de APIs</x:v>
      </x:c>
      <x:c r="D27" s="28" t="str">
        <x:v>Transversal</x:v>
      </x:c>
      <x:c r="E27" s="28" t="str">
        <x:v>Propuesto</x:v>
      </x:c>
      <x:c r="F27" s="45" t="n">
        <x:v>46314</x:v>
      </x:c>
      <x:c r="G27" s="45" t="n">
        <x:v>46416</x:v>
      </x:c>
      <x:c r="H27" s="40" t="n">
        <x:f>G27-F27+1</x:f>
        <x:v>103</x:v>
      </x:c>
      <x:c r="I27" s="41" t="n">
        <x:f>G27-WEEKDAY(G27,2)+1</x:f>
        <x:v>46412</x:v>
      </x:c>
      <x:c r="J27" s="28" t="str">
        <x:v>CO-01 a CO-06</x:v>
      </x:c>
      <x:c r="K27" s="28" t="str">
        <x:v>APIs por componente</x:v>
      </x:c>
      <x:c r="L27" s="28" t="str">
        <x:v>Operaciones y errores documentados; pruebas de integración pasan</x:v>
      </x:c>
      <x:c r="M27" s="28" t="str">
        <x:v>Equipo backend</x:v>
      </x:c>
      <x:c r="N27" s="32" t="str"/>
      <x:c r="O27" s="28" t="str">
        <x:v>Actividad transversal dentro de cada módulo</x:v>
      </x:c>
    </x:row>
    <x:row r="28" ht="26" customHeight="1">
      <x:c r="A28" s="28" t="str">
        <x:v>CO-09</x:v>
      </x:c>
      <x:c r="B28" s="28" t="str">
        <x:v>Construcción</x:v>
      </x:c>
      <x:c r="C28" s="28" t="str">
        <x:v>Construcciòn de reglas de negocio</x:v>
      </x:c>
      <x:c r="D28" s="28" t="str">
        <x:v>Transversal</x:v>
      </x:c>
      <x:c r="E28" s="28" t="str">
        <x:v>Propuesto</x:v>
      </x:c>
      <x:c r="F28" s="45" t="n">
        <x:v>46314</x:v>
      </x:c>
      <x:c r="G28" s="45" t="n">
        <x:v>46416</x:v>
      </x:c>
      <x:c r="H28" s="40" t="n">
        <x:f>G28-F28+1</x:f>
        <x:v>103</x:v>
      </x:c>
      <x:c r="I28" s="41" t="n">
        <x:f>G28-WEEKDAY(G28,2)+1</x:f>
        <x:v>46412</x:v>
      </x:c>
      <x:c r="J28" s="28" t="str">
        <x:v>CO-01 a CO-06</x:v>
      </x:c>
      <x:c r="K28" s="28" t="str">
        <x:v>Reglas versionadas</x:v>
      </x:c>
      <x:c r="L28" s="28" t="str">
        <x:v>Reglas de elegibilidad, cálculo y transición coinciden con decisiones aprobadas</x:v>
      </x:c>
      <x:c r="M28" s="28" t="str">
        <x:v>Equipo backend / producto</x:v>
      </x:c>
      <x:c r="N28" s="32" t="str"/>
      <x:c r="O28" s="28" t="str">
        <x:v>Actividad transversal dentro de cada módulo</x:v>
      </x:c>
    </x:row>
    <x:row r="29" ht="26" customHeight="1">
      <x:c r="A29" s="51" t="str">
        <x:v>CO-H3</x:v>
      </x:c>
      <x:c r="B29" s="51" t="str">
        <x:v>Construcción</x:v>
      </x:c>
      <x:c r="C29" s="51" t="str">
        <x:v>Hito: flujo operacional integrado</x:v>
      </x:c>
      <x:c r="D29" s="51" t="str">
        <x:v>Hito</x:v>
      </x:c>
      <x:c r="E29" s="51" t="str">
        <x:v>Propuesto</x:v>
      </x:c>
      <x:c r="F29" s="52" t="n">
        <x:v>46416</x:v>
      </x:c>
      <x:c r="G29" s="52" t="n">
        <x:v>46416</x:v>
      </x:c>
      <x:c r="H29" s="53" t="n">
        <x:f>G29-F29+1</x:f>
        <x:v>1</x:v>
      </x:c>
      <x:c r="I29" s="54" t="n">
        <x:f>G29-WEEKDAY(G29,2)+1</x:f>
        <x:v>46412</x:v>
      </x:c>
      <x:c r="J29" s="51" t="str">
        <x:v>CO-01 a CO-11</x:v>
      </x:c>
      <x:c r="K29" s="51" t="str">
        <x:v>Demostración extremo a extremo</x:v>
      </x:c>
      <x:c r="L29" s="51" t="str">
        <x:v>Usuario autorizado recorre proyecto → activo → control → resultado → aprobación → traspaso; usuario sin permiso es rechazado</x:v>
      </x:c>
      <x:c r="M29" s="51" t="str">
        <x:v>Líder técnico / producto</x:v>
      </x:c>
      <x:c r="N29" s="51" t="str"/>
      <x:c r="O29" s="51" t="str"/>
    </x:row>
    <x:row r="30" ht="26" customHeight="1">
      <x:c r="A30" s="28" t="str">
        <x:v>RE-01</x:v>
      </x:c>
      <x:c r="B30" s="28" t="str">
        <x:v>Reprtabilidad</x:v>
      </x:c>
      <x:c r="C30" s="28" t="str">
        <x:v>Dashboards, reportes y repositorios</x:v>
      </x:c>
      <x:c r="D30" s="28" t="str">
        <x:v>Actividad</x:v>
      </x:c>
      <x:c r="E30" s="28" t="str">
        <x:v>Propuesto</x:v>
      </x:c>
      <x:c r="F30" s="45" t="n">
        <x:v>46398</x:v>
      </x:c>
      <x:c r="G30" s="45" t="n">
        <x:v>46423</x:v>
      </x:c>
      <x:c r="H30" s="40" t="n">
        <x:f>G30-F30+1</x:f>
        <x:v>26</x:v>
      </x:c>
      <x:c r="I30" s="41" t="n">
        <x:f>G30-WEEKDAY(G30,2)+1</x:f>
        <x:v>46419</x:v>
      </x:c>
      <x:c r="J30" s="28" t="str">
        <x:v>CO-04; CO-05</x:v>
      </x:c>
      <x:c r="K30" s="28" t="str">
        <x:v>Indicadores y repositorio</x:v>
      </x:c>
      <x:c r="L30" s="28" t="str">
        <x:v>Indicadores trazables a datos; reportes y documentos accesibles por permiso</x:v>
      </x:c>
      <x:c r="M30" s="28" t="str">
        <x:v>Equipo desarrollo</x:v>
      </x:c>
      <x:c r="N30" s="32" t="str"/>
      <x:c r="O30" s="28" t="str">
        <x:v>Título de fase preservado del plan aportado por el usuario</x:v>
      </x:c>
    </x:row>
    <x:row r="31" ht="26" customHeight="1">
      <x:c r="A31" s="51" t="str">
        <x:v>RE-H4</x:v>
      </x:c>
      <x:c r="B31" s="51" t="str">
        <x:v>Reprtabilidad</x:v>
      </x:c>
      <x:c r="C31" s="51" t="str">
        <x:v>Hito: reportabilidad validada</x:v>
      </x:c>
      <x:c r="D31" s="51" t="str">
        <x:v>Hito</x:v>
      </x:c>
      <x:c r="E31" s="51" t="str">
        <x:v>Propuesto</x:v>
      </x:c>
      <x:c r="F31" s="52" t="n">
        <x:v>46423</x:v>
      </x:c>
      <x:c r="G31" s="52" t="n">
        <x:v>46423</x:v>
      </x:c>
      <x:c r="H31" s="53" t="n">
        <x:f>G31-F31+1</x:f>
        <x:v>1</x:v>
      </x:c>
      <x:c r="I31" s="54" t="n">
        <x:f>G31-WEEKDAY(G31,2)+1</x:f>
        <x:v>46419</x:v>
      </x:c>
      <x:c r="J31" s="51" t="str">
        <x:v>RE-01</x:v>
      </x:c>
      <x:c r="K31" s="51" t="str">
        <x:v>Validación de indicadores</x:v>
      </x:c>
      <x:c r="L31" s="51" t="str">
        <x:v>Cliente confirma indicadores y reportes contra casos de prueba acordados</x:v>
      </x:c>
      <x:c r="M31" s="51" t="str">
        <x:v>Cliente / producto</x:v>
      </x:c>
      <x:c r="N31" s="51" t="str"/>
      <x:c r="O31" s="51" t="str"/>
    </x:row>
    <x:row r="32" ht="26" customHeight="1">
      <x:c r="A32" s="28" t="str">
        <x:v>PR-01</x:v>
      </x:c>
      <x:c r="B32" s="28" t="str">
        <x:v>Pruebas funcionales y de seguridad</x:v>
      </x:c>
      <x:c r="C32" s="28" t="str">
        <x:v>Pruebas unitarias</x:v>
      </x:c>
      <x:c r="D32" s="28" t="str">
        <x:v>Transversal</x:v>
      </x:c>
      <x:c r="E32" s="28" t="str">
        <x:v>Propuesto</x:v>
      </x:c>
      <x:c r="F32" s="45" t="n">
        <x:v>46314</x:v>
      </x:c>
      <x:c r="G32" s="45" t="n">
        <x:v>46416</x:v>
      </x:c>
      <x:c r="H32" s="40" t="n">
        <x:f>G32-F32+1</x:f>
        <x:v>103</x:v>
      </x:c>
      <x:c r="I32" s="41" t="n">
        <x:f>G32-WEEKDAY(G32,2)+1</x:f>
        <x:v>46412</x:v>
      </x:c>
      <x:c r="J32" s="28" t="str">
        <x:v>CO-01 a CO-09</x:v>
      </x:c>
      <x:c r="K32" s="28" t="str">
        <x:v>Suite unitaria</x:v>
      </x:c>
      <x:c r="L32" s="28" t="str">
        <x:v>Pruebas de reglas críticas ejecutan sin fallas en cada incremento</x:v>
      </x:c>
      <x:c r="M32" s="28" t="str">
        <x:v>Equipo desarrollo</x:v>
      </x:c>
      <x:c r="N32" s="32" t="str"/>
      <x:c r="O32" s="28" t="str">
        <x:v>Ocurre durante construcción</x:v>
      </x:c>
    </x:row>
    <x:row r="33" ht="26" customHeight="1">
      <x:c r="A33" s="28" t="str">
        <x:v>PR-02</x:v>
      </x:c>
      <x:c r="B33" s="28" t="str">
        <x:v>Pruebas funcionales y de seguridad</x:v>
      </x:c>
      <x:c r="C33" s="28" t="str">
        <x:v>Pruebas de integración</x:v>
      </x:c>
      <x:c r="D33" s="28" t="str">
        <x:v>Transversal</x:v>
      </x:c>
      <x:c r="E33" s="28" t="str">
        <x:v>Propuesto</x:v>
      </x:c>
      <x:c r="F33" s="45" t="n">
        <x:v>46335</x:v>
      </x:c>
      <x:c r="G33" s="45" t="n">
        <x:v>46423</x:v>
      </x:c>
      <x:c r="H33" s="40" t="n">
        <x:f>G33-F33+1</x:f>
        <x:v>89</x:v>
      </x:c>
      <x:c r="I33" s="41" t="n">
        <x:f>G33-WEEKDAY(G33,2)+1</x:f>
        <x:v>46419</x:v>
      </x:c>
      <x:c r="J33" s="28" t="str">
        <x:v>CO-02 a CO-11</x:v>
      </x:c>
      <x:c r="K33" s="28" t="str">
        <x:v>Suite de integración</x:v>
      </x:c>
      <x:c r="L33" s="28" t="str">
        <x:v>APIs, perfiles, límites entre proyectos y traspasos pasan recorridos integrados</x:v>
      </x:c>
      <x:c r="M33" s="28" t="str">
        <x:v>Equipo desarrollo / QA</x:v>
      </x:c>
      <x:c r="N33" s="32" t="str"/>
      <x:c r="O33" s="28" t="str">
        <x:v>Ocurre durante construcción</x:v>
      </x:c>
    </x:row>
    <x:row r="34" ht="26" customHeight="1">
      <x:c r="A34" s="28" t="str">
        <x:v>PR-03</x:v>
      </x:c>
      <x:c r="B34" s="28" t="str">
        <x:v>Pruebas funcionales y de seguridad</x:v>
      </x:c>
      <x:c r="C34" s="28" t="str">
        <x:v>Pruebas funcionales</x:v>
      </x:c>
      <x:c r="D34" s="28" t="str">
        <x:v>Actividad</x:v>
      </x:c>
      <x:c r="E34" s="28" t="str">
        <x:v>Propuesto</x:v>
      </x:c>
      <x:c r="F34" s="45" t="n">
        <x:v>46412</x:v>
      </x:c>
      <x:c r="G34" s="45" t="n">
        <x:v>46430</x:v>
      </x:c>
      <x:c r="H34" s="40" t="n">
        <x:f>G34-F34+1</x:f>
        <x:v>19</x:v>
      </x:c>
      <x:c r="I34" s="41" t="n">
        <x:f>G34-WEEKDAY(G34,2)+1</x:f>
        <x:v>46426</x:v>
      </x:c>
      <x:c r="J34" s="28" t="str">
        <x:v>CO-H3; RE-01 (entrega parcial)</x:v>
      </x:c>
      <x:c r="K34" s="28" t="str">
        <x:v>Resultados de pruebas QA</x:v>
      </x:c>
      <x:c r="L34" s="28" t="str">
        <x:v>Casos aprobados; sin defectos críticos; login, recuperación, revocación y acceso cruzado entre proyectos verificados</x:v>
      </x:c>
      <x:c r="M34" s="28" t="str">
        <x:v>QA / producto</x:v>
      </x:c>
      <x:c r="N34" s="32" t="str"/>
      <x:c r="O34" s="28" t="str">
        <x:v>Incluye seguridad y regresión</x:v>
      </x:c>
    </x:row>
    <x:row r="35" ht="26" customHeight="1">
      <x:c r="A35" s="51" t="str">
        <x:v>PR-H5</x:v>
      </x:c>
      <x:c r="B35" s="51" t="str">
        <x:v>Pruebas funcionales y de seguridad</x:v>
      </x:c>
      <x:c r="C35" s="51" t="str">
        <x:v>Hito: versión candidata aprobada</x:v>
      </x:c>
      <x:c r="D35" s="51" t="str">
        <x:v>Hito</x:v>
      </x:c>
      <x:c r="E35" s="51" t="str">
        <x:v>Propuesto</x:v>
      </x:c>
      <x:c r="F35" s="52" t="n">
        <x:v>46430</x:v>
      </x:c>
      <x:c r="G35" s="52" t="n">
        <x:v>46430</x:v>
      </x:c>
      <x:c r="H35" s="53" t="n">
        <x:f>G35-F35+1</x:f>
        <x:v>1</x:v>
      </x:c>
      <x:c r="I35" s="54" t="n">
        <x:f>G35-WEEKDAY(G35,2)+1</x:f>
        <x:v>46426</x:v>
      </x:c>
      <x:c r="J35" s="51" t="str">
        <x:v>PR-03</x:v>
      </x:c>
      <x:c r="K35" s="51" t="str">
        <x:v>Versión candidata QA</x:v>
      </x:c>
      <x:c r="L35" s="51" t="str">
        <x:v>No hay defectos críticos abiertos; evidencia de pruebas disponible</x:v>
      </x:c>
      <x:c r="M35" s="51" t="str">
        <x:v>QA / líder técnico</x:v>
      </x:c>
      <x:c r="N35" s="51" t="str"/>
      <x:c r="O35" s="51" t="str"/>
    </x:row>
    <x:row r="36" ht="26" customHeight="1">
      <x:c r="A36" s="28" t="str">
        <x:v>QA-01</x:v>
      </x:c>
      <x:c r="B36" s="28" t="str">
        <x:v>Despliegue en ambiente QA</x:v>
      </x:c>
      <x:c r="C36" s="28" t="str">
        <x:v>Despliegue en ambiente QA</x:v>
      </x:c>
      <x:c r="D36" s="28" t="str">
        <x:v>Actividad</x:v>
      </x:c>
      <x:c r="E36" s="28" t="str">
        <x:v>Propuesto</x:v>
      </x:c>
      <x:c r="F36" s="45" t="n">
        <x:v>46419</x:v>
      </x:c>
      <x:c r="G36" s="45" t="n">
        <x:v>46421</x:v>
      </x:c>
      <x:c r="H36" s="40" t="n">
        <x:f>G36-F36+1</x:f>
        <x:v>3</x:v>
      </x:c>
      <x:c r="I36" s="41" t="n">
        <x:f>G36-WEEKDAY(G36,2)+1</x:f>
        <x:v>46419</x:v>
      </x:c>
      <x:c r="J36" s="28" t="str">
        <x:v>CO-H3</x:v>
      </x:c>
      <x:c r="K36" s="28" t="str">
        <x:v>Versión instalada en QA</x:v>
      </x:c>
      <x:c r="L36" s="28" t="str">
        <x:v>Versión reproducible y datos de prueba disponibles para aceptación</x:v>
      </x:c>
      <x:c r="M36" s="28" t="str">
        <x:v>Líder técnico / QA</x:v>
      </x:c>
      <x:c r="N36" s="32" t="str"/>
      <x:c r="O36" s="28" t="str"/>
    </x:row>
    <x:row r="37" ht="26" customHeight="1">
      <x:c r="A37" s="28" t="str">
        <x:v>QA-02</x:v>
      </x:c>
      <x:c r="B37" s="28" t="str">
        <x:v>Despliegue en ambiente QA</x:v>
      </x:c>
      <x:c r="C37" s="28" t="str">
        <x:v>Validación y aceptación del cliente</x:v>
      </x:c>
      <x:c r="D37" s="28" t="str">
        <x:v>Actividad</x:v>
      </x:c>
      <x:c r="E37" s="28" t="str">
        <x:v>Propuesto</x:v>
      </x:c>
      <x:c r="F37" s="45" t="n">
        <x:v>46422</x:v>
      </x:c>
      <x:c r="G37" s="45" t="n">
        <x:v>46437</x:v>
      </x:c>
      <x:c r="H37" s="40" t="n">
        <x:f>G37-F37+1</x:f>
        <x:v>16</x:v>
      </x:c>
      <x:c r="I37" s="41" t="n">
        <x:f>G37-WEEKDAY(G37,2)+1</x:f>
        <x:v>46433</x:v>
      </x:c>
      <x:c r="J37" s="28" t="str">
        <x:v>QA-01; PR-H5</x:v>
      </x:c>
      <x:c r="K37" s="28" t="str">
        <x:v>Acta de aceptación QA</x:v>
      </x:c>
      <x:c r="L37" s="28" t="str">
        <x:v>Cliente ejecuta recorridos críticos y aprueba lista final de defectos</x:v>
      </x:c>
      <x:c r="M37" s="28" t="str">
        <x:v>Cliente / producto</x:v>
      </x:c>
      <x:c r="N37" s="32" t="str"/>
      <x:c r="O37" s="28" t="str">
        <x:v>Necesita agenda y participación del cliente</x:v>
      </x:c>
    </x:row>
    <x:row r="38" ht="26" customHeight="1">
      <x:c r="A38" s="51" t="str">
        <x:v>QA-H6</x:v>
      </x:c>
      <x:c r="B38" s="51" t="str">
        <x:v>Despliegue en ambiente QA</x:v>
      </x:c>
      <x:c r="C38" s="51" t="str">
        <x:v>Hito: autorización para PROD</x:v>
      </x:c>
      <x:c r="D38" s="51" t="str">
        <x:v>Hito</x:v>
      </x:c>
      <x:c r="E38" s="51" t="str">
        <x:v>Propuesto</x:v>
      </x:c>
      <x:c r="F38" s="52" t="n">
        <x:v>46437</x:v>
      </x:c>
      <x:c r="G38" s="52" t="n">
        <x:v>46437</x:v>
      </x:c>
      <x:c r="H38" s="53" t="n">
        <x:f>G38-F38+1</x:f>
        <x:v>1</x:v>
      </x:c>
      <x:c r="I38" s="54" t="n">
        <x:f>G38-WEEKDAY(G38,2)+1</x:f>
        <x:v>46433</x:v>
      </x:c>
      <x:c r="J38" s="51" t="str">
        <x:v>QA-02</x:v>
      </x:c>
      <x:c r="K38" s="51" t="str">
        <x:v>Autorización de despliegue</x:v>
      </x:c>
      <x:c r="L38" s="51" t="str">
        <x:v>Aprobación escrita del cliente y plan de reversión revisado</x:v>
      </x:c>
      <x:c r="M38" s="51" t="str">
        <x:v>Cliente / líder técnico</x:v>
      </x:c>
      <x:c r="N38" s="51" t="str"/>
      <x:c r="O38" s="51" t="str">
        <x:v>Gate de producción</x:v>
      </x:c>
    </x:row>
    <x:row r="39" ht="26" customHeight="1">
      <x:c r="A39" s="28" t="str">
        <x:v>PD-01</x:v>
      </x:c>
      <x:c r="B39" s="28" t="str">
        <x:v>Despliegue en ambiente PROD</x:v>
      </x:c>
      <x:c r="C39" s="28" t="str">
        <x:v>Despliegue en ambiente PROD</x:v>
      </x:c>
      <x:c r="D39" s="28" t="str">
        <x:v>Actividad</x:v>
      </x:c>
      <x:c r="E39" s="28" t="str">
        <x:v>Propuesto</x:v>
      </x:c>
      <x:c r="F39" s="45" t="n">
        <x:v>46440</x:v>
      </x:c>
      <x:c r="G39" s="45" t="n">
        <x:v>46442</x:v>
      </x:c>
      <x:c r="H39" s="40" t="n">
        <x:f>G39-F39+1</x:f>
        <x:v>3</x:v>
      </x:c>
      <x:c r="I39" s="41" t="n">
        <x:f>G39-WEEKDAY(G39,2)+1</x:f>
        <x:v>46440</x:v>
      </x:c>
      <x:c r="J39" s="28" t="str">
        <x:v>QA-H6</x:v>
      </x:c>
      <x:c r="K39" s="28" t="str">
        <x:v>Versión instalada en PROD</x:v>
      </x:c>
      <x:c r="L39" s="28" t="str">
        <x:v>Despliegue, migraciones, respaldo, monitoreo y rollback comprobados</x:v>
      </x:c>
      <x:c r="M39" s="28" t="str">
        <x:v>Líder técnico</x:v>
      </x:c>
      <x:c r="N39" s="32" t="str"/>
      <x:c r="O39" s="28" t="str"/>
    </x:row>
    <x:row r="40" ht="26" customHeight="1">
      <x:c r="A40" s="28" t="str">
        <x:v>PD-02</x:v>
      </x:c>
      <x:c r="B40" s="28" t="str">
        <x:v>Despliegue en ambiente PROD</x:v>
      </x:c>
      <x:c r="C40" s="28" t="str">
        <x:v>Verificación en producción</x:v>
      </x:c>
      <x:c r="D40" s="28" t="str">
        <x:v>Actividad</x:v>
      </x:c>
      <x:c r="E40" s="28" t="str">
        <x:v>Propuesto</x:v>
      </x:c>
      <x:c r="F40" s="45" t="n">
        <x:v>46442</x:v>
      </x:c>
      <x:c r="G40" s="45" t="n">
        <x:v>46444</x:v>
      </x:c>
      <x:c r="H40" s="40" t="n">
        <x:f>G40-F40+1</x:f>
        <x:v>3</x:v>
      </x:c>
      <x:c r="I40" s="41" t="n">
        <x:f>G40-WEEKDAY(G40,2)+1</x:f>
        <x:v>46440</x:v>
      </x:c>
      <x:c r="J40" s="28" t="str">
        <x:v>PD-01</x:v>
      </x:c>
      <x:c r="K40" s="28" t="str">
        <x:v>Acta de verificación PROD</x:v>
      </x:c>
      <x:c r="L40" s="28" t="str">
        <x:v>Recorridos críticos pasan y responsables reciben operación</x:v>
      </x:c>
      <x:c r="M40" s="28" t="str">
        <x:v>Líder técnico / producto</x:v>
      </x:c>
      <x:c r="N40" s="32" t="str"/>
      <x:c r="O40" s="28" t="str"/>
    </x:row>
    <x:row r="41" ht="26" customHeight="1">
      <x:c r="A41" s="51" t="str">
        <x:v>PD-H7</x:v>
      </x:c>
      <x:c r="B41" s="51" t="str">
        <x:v>Despliegue en ambiente PROD</x:v>
      </x:c>
      <x:c r="C41" s="51" t="str">
        <x:v>Hito: plataforma operativa</x:v>
      </x:c>
      <x:c r="D41" s="51" t="str">
        <x:v>Hito</x:v>
      </x:c>
      <x:c r="E41" s="51" t="str">
        <x:v>Propuesto</x:v>
      </x:c>
      <x:c r="F41" s="52" t="n">
        <x:v>46444</x:v>
      </x:c>
      <x:c r="G41" s="52" t="n">
        <x:v>46444</x:v>
      </x:c>
      <x:c r="H41" s="53" t="n">
        <x:f>G41-F41+1</x:f>
        <x:v>1</x:v>
      </x:c>
      <x:c r="I41" s="54" t="n">
        <x:f>G41-WEEKDAY(G41,2)+1</x:f>
        <x:v>46440</x:v>
      </x:c>
      <x:c r="J41" s="51" t="str">
        <x:v>PD-02</x:v>
      </x:c>
      <x:c r="K41" s="51" t="str">
        <x:v>Plataforma operativa</x:v>
      </x:c>
      <x:c r="L41" s="51" t="str">
        <x:v>Cliente confirma operación V1 en PROD y documentación entregada</x:v>
      </x:c>
      <x:c r="M41" s="51" t="str">
        <x:v>Cliente / producto</x:v>
      </x:c>
      <x:c r="N41" s="51" t="str"/>
      <x:c r="O41" s="51" t="str">
        <x:v>Meta objetivo; no compromiso cerrado</x:v>
      </x:c>
    </x:row>
    <x:row r="42" ht="26" customHeight="1">
      <x:c r="A42" s="33" t="str">
        <x:v>CA-01</x:v>
      </x:c>
      <x:c r="B42" s="33" t="str">
        <x:v>Capacitaciones</x:v>
      </x:c>
      <x:c r="C42" s="33" t="str">
        <x:v>Capacitaciones</x:v>
      </x:c>
      <x:c r="D42" s="33" t="str">
        <x:v>Actividad</x:v>
      </x:c>
      <x:c r="E42" s="33" t="str">
        <x:v>Propuesto</x:v>
      </x:c>
      <x:c r="F42" s="46" t="n">
        <x:v>46433</x:v>
      </x:c>
      <x:c r="G42" s="46" t="n">
        <x:v>46444</x:v>
      </x:c>
      <x:c r="H42" s="42" t="n">
        <x:f>G42-F42+1</x:f>
        <x:v>12</x:v>
      </x:c>
      <x:c r="I42" s="43" t="n">
        <x:f>G42-WEEKDAY(G42,2)+1</x:f>
        <x:v>46440</x:v>
      </x:c>
      <x:c r="J42" s="33" t="str">
        <x:v>QA-01</x:v>
      </x:c>
      <x:c r="K42" s="33" t="str">
        <x:v>Usuarios capacitados</x:v>
      </x:c>
      <x:c r="L42" s="33" t="str">
        <x:v>Sesiones realizadas; guías y material entregados; asistencia registrada</x:v>
      </x:c>
      <x:c r="M42" s="33" t="str">
        <x:v>Producto / soporte</x:v>
      </x:c>
      <x:c r="N42" s="37" t="str"/>
      <x:c r="O42" s="33" t="str">
        <x:v>En paralelo con aceptación y puesta en marcha</x:v>
      </x:c>
    </x:row>
  </x:sheetData>
  <x:dataValidations count="1">
    <x:dataValidation type="list" sqref="E7:E42">
      <x:formula1>"Realizado,Propuesto,En curso,Aprobado,Retrasado"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A9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5" hidden="0" customWidth="1"/>
    <x:col min="5" max="5" width="15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</x:cols>
  <x:sheetData>
    <x:row r="2">
      <x:c r="A2" s="6" t="str">
        <x:v>Gantt semanal de desarrollo</x:v>
      </x:c>
    </x:row>
    <x:row r="3">
      <x:c r="A3" s="7" t="str">
        <x:v>Cada columna representa una semana (lunes a domingo). Las barras se actualizan al cambiar Inicio o Fin en Cronograma.</x:v>
      </x:c>
    </x:row>
    <x:row r="5" ht="32" customHeight="1">
      <x:c r="A5" s="60" t="str">
        <x:v>ID</x:v>
      </x:c>
      <x:c r="B5" s="60" t="str">
        <x:v>Bloque</x:v>
      </x:c>
      <x:c r="C5" s="60" t="str">
        <x:v>Actividad</x:v>
      </x:c>
      <x:c r="D5" s="60" t="str">
        <x:v>Inicio</x:v>
      </x:c>
      <x:c r="E5" s="60" t="str">
        <x:v>Fin</x:v>
      </x:c>
      <x:c r="F5" s="60" t="str">
        <x:v>Días</x:v>
      </x:c>
      <x:c r="G5" s="61" t="n">
        <x:v>46272</x:v>
      </x:c>
      <x:c r="H5" s="61" t="n">
        <x:v>46279</x:v>
      </x:c>
      <x:c r="I5" s="61" t="n">
        <x:v>46286</x:v>
      </x:c>
      <x:c r="J5" s="61" t="n">
        <x:v>46293</x:v>
      </x:c>
      <x:c r="K5" s="61" t="n">
        <x:v>46300</x:v>
      </x:c>
      <x:c r="L5" s="61" t="n">
        <x:v>46307</x:v>
      </x:c>
      <x:c r="M5" s="61" t="n">
        <x:v>46314</x:v>
      </x:c>
      <x:c r="N5" s="61" t="n">
        <x:v>46321</x:v>
      </x:c>
      <x:c r="O5" s="61" t="n">
        <x:v>46328</x:v>
      </x:c>
      <x:c r="P5" s="61" t="n">
        <x:v>46335</x:v>
      </x:c>
      <x:c r="Q5" s="61" t="n">
        <x:v>46342</x:v>
      </x:c>
      <x:c r="R5" s="61" t="n">
        <x:v>46349</x:v>
      </x:c>
      <x:c r="S5" s="61" t="n">
        <x:v>46356</x:v>
      </x:c>
      <x:c r="T5" s="61" t="n">
        <x:v>46363</x:v>
      </x:c>
      <x:c r="U5" s="61" t="n">
        <x:v>46370</x:v>
      </x:c>
      <x:c r="V5" s="61" t="n">
        <x:v>46377</x:v>
      </x:c>
      <x:c r="W5" s="61" t="n">
        <x:v>46384</x:v>
      </x:c>
      <x:c r="X5" s="61" t="n">
        <x:v>46391</x:v>
      </x:c>
      <x:c r="Y5" s="61" t="n">
        <x:v>46398</x:v>
      </x:c>
      <x:c r="Z5" s="61" t="n">
        <x:v>46405</x:v>
      </x:c>
      <x:c r="AA5" s="61" t="n">
        <x:v>46412</x:v>
      </x:c>
      <x:c r="AB5" s="61" t="n">
        <x:v>46419</x:v>
      </x:c>
      <x:c r="AC5" s="61" t="n">
        <x:v>46426</x:v>
      </x:c>
      <x:c r="AD5" s="61" t="n">
        <x:v>46433</x:v>
      </x:c>
      <x:c r="AE5" s="61" t="n">
        <x:v>46440</x:v>
      </x:c>
    </x:row>
    <x:row r="6" ht="25" customHeight="1">
      <x:c r="A6" s="72" t="str">
        <x:f>Cronograma!A7</x:f>
        <x:v>LM-01</x:v>
      </x:c>
      <x:c r="B6" s="72" t="str">
        <x:f>Cronograma!B7</x:f>
        <x:v>Levantamiento del modelo inicial</x:v>
      </x:c>
      <x:c r="C6" s="72" t="str">
        <x:f>Cronograma!C7</x:f>
        <x:v>Revisar Matriz TM&amp;PC</x:v>
      </x:c>
      <x:c r="D6" s="73" t="n">
        <x:f>Cronograma!F7</x:f>
        <x:v>46274</x:v>
      </x:c>
      <x:c r="E6" s="73" t="n">
        <x:f>Cronograma!G7</x:f>
        <x:v>46274</x:v>
      </x:c>
      <x:c r="F6" s="74" t="n">
        <x:f>Cronograma!H7</x:f>
        <x:v>1</x:v>
      </x:c>
      <x:c r="G6" s="75" t="str">
        <x:f>IF(AND(G$5&lt;=Cronograma!$G7,G$5+6&gt;=Cronograma!$F7),IF(Cronograma!$D7="Hito","◆","■"),"")</x:f>
        <x:v>■</x:v>
      </x:c>
      <x:c r="H6" s="75" t="str">
        <x:f>IF(AND(H$5&lt;=Cronograma!$G7,H$5+6&gt;=Cronograma!$F7),IF(Cronograma!$D7="Hito","◆","■"),"")</x:f>
      </x:c>
      <x:c r="I6" s="75" t="str">
        <x:f>IF(AND(I$5&lt;=Cronograma!$G7,I$5+6&gt;=Cronograma!$F7),IF(Cronograma!$D7="Hito","◆","■"),"")</x:f>
      </x:c>
      <x:c r="J6" s="75" t="str">
        <x:f>IF(AND(J$5&lt;=Cronograma!$G7,J$5+6&gt;=Cronograma!$F7),IF(Cronograma!$D7="Hito","◆","■"),"")</x:f>
      </x:c>
      <x:c r="K6" s="75" t="str">
        <x:f>IF(AND(K$5&lt;=Cronograma!$G7,K$5+6&gt;=Cronograma!$F7),IF(Cronograma!$D7="Hito","◆","■"),"")</x:f>
      </x:c>
      <x:c r="L6" s="75" t="str">
        <x:f>IF(AND(L$5&lt;=Cronograma!$G7,L$5+6&gt;=Cronograma!$F7),IF(Cronograma!$D7="Hito","◆","■"),"")</x:f>
      </x:c>
      <x:c r="M6" s="75" t="str">
        <x:f>IF(AND(M$5&lt;=Cronograma!$G7,M$5+6&gt;=Cronograma!$F7),IF(Cronograma!$D7="Hito","◆","■"),"")</x:f>
      </x:c>
      <x:c r="N6" s="75" t="str">
        <x:f>IF(AND(N$5&lt;=Cronograma!$G7,N$5+6&gt;=Cronograma!$F7),IF(Cronograma!$D7="Hito","◆","■"),"")</x:f>
      </x:c>
      <x:c r="O6" s="75" t="str">
        <x:f>IF(AND(O$5&lt;=Cronograma!$G7,O$5+6&gt;=Cronograma!$F7),IF(Cronograma!$D7="Hito","◆","■"),"")</x:f>
      </x:c>
      <x:c r="P6" s="75" t="str">
        <x:f>IF(AND(P$5&lt;=Cronograma!$G7,P$5+6&gt;=Cronograma!$F7),IF(Cronograma!$D7="Hito","◆","■"),"")</x:f>
      </x:c>
      <x:c r="Q6" s="75" t="str">
        <x:f>IF(AND(Q$5&lt;=Cronograma!$G7,Q$5+6&gt;=Cronograma!$F7),IF(Cronograma!$D7="Hito","◆","■"),"")</x:f>
      </x:c>
      <x:c r="R6" s="75" t="str">
        <x:f>IF(AND(R$5&lt;=Cronograma!$G7,R$5+6&gt;=Cronograma!$F7),IF(Cronograma!$D7="Hito","◆","■"),"")</x:f>
      </x:c>
      <x:c r="S6" s="75" t="str">
        <x:f>IF(AND(S$5&lt;=Cronograma!$G7,S$5+6&gt;=Cronograma!$F7),IF(Cronograma!$D7="Hito","◆","■"),"")</x:f>
      </x:c>
      <x:c r="T6" s="75" t="str">
        <x:f>IF(AND(T$5&lt;=Cronograma!$G7,T$5+6&gt;=Cronograma!$F7),IF(Cronograma!$D7="Hito","◆","■"),"")</x:f>
      </x:c>
      <x:c r="U6" s="75" t="str">
        <x:f>IF(AND(U$5&lt;=Cronograma!$G7,U$5+6&gt;=Cronograma!$F7),IF(Cronograma!$D7="Hito","◆","■"),"")</x:f>
      </x:c>
      <x:c r="V6" s="75" t="str">
        <x:f>IF(AND(V$5&lt;=Cronograma!$G7,V$5+6&gt;=Cronograma!$F7),IF(Cronograma!$D7="Hito","◆","■"),"")</x:f>
      </x:c>
      <x:c r="W6" s="75" t="str">
        <x:f>IF(AND(W$5&lt;=Cronograma!$G7,W$5+6&gt;=Cronograma!$F7),IF(Cronograma!$D7="Hito","◆","■"),"")</x:f>
      </x:c>
      <x:c r="X6" s="75" t="str">
        <x:f>IF(AND(X$5&lt;=Cronograma!$G7,X$5+6&gt;=Cronograma!$F7),IF(Cronograma!$D7="Hito","◆","■"),"")</x:f>
      </x:c>
      <x:c r="Y6" s="75" t="str">
        <x:f>IF(AND(Y$5&lt;=Cronograma!$G7,Y$5+6&gt;=Cronograma!$F7),IF(Cronograma!$D7="Hito","◆","■"),"")</x:f>
      </x:c>
      <x:c r="Z6" s="75" t="str">
        <x:f>IF(AND(Z$5&lt;=Cronograma!$G7,Z$5+6&gt;=Cronograma!$F7),IF(Cronograma!$D7="Hito","◆","■"),"")</x:f>
      </x:c>
      <x:c r="AA6" s="75" t="str">
        <x:f>IF(AND(AA$5&lt;=Cronograma!$G7,AA$5+6&gt;=Cronograma!$F7),IF(Cronograma!$D7="Hito","◆","■"),"")</x:f>
      </x:c>
      <x:c r="AB6" s="75" t="str">
        <x:f>IF(AND(AB$5&lt;=Cronograma!$G7,AB$5+6&gt;=Cronograma!$F7),IF(Cronograma!$D7="Hito","◆","■"),"")</x:f>
      </x:c>
      <x:c r="AC6" s="75" t="str">
        <x:f>IF(AND(AC$5&lt;=Cronograma!$G7,AC$5+6&gt;=Cronograma!$F7),IF(Cronograma!$D7="Hito","◆","■"),"")</x:f>
      </x:c>
      <x:c r="AD6" s="75" t="str">
        <x:f>IF(AND(AD$5&lt;=Cronograma!$G7,AD$5+6&gt;=Cronograma!$F7),IF(Cronograma!$D7="Hito","◆","■"),"")</x:f>
      </x:c>
      <x:c r="AE6" s="75" t="str">
        <x:f>IF(AND(AE$5&lt;=Cronograma!$G7,AE$5+6&gt;=Cronograma!$F7),IF(Cronograma!$D7="Hito","◆","■"),"")</x:f>
      </x:c>
    </x:row>
    <x:row r="7" ht="25" customHeight="1">
      <x:c r="A7" s="76" t="str">
        <x:f>Cronograma!A8</x:f>
        <x:v>LM-02</x:v>
      </x:c>
      <x:c r="B7" s="76" t="str">
        <x:f>Cronograma!B8</x:f>
        <x:v>Levantamiento del modelo inicial</x:v>
      </x:c>
      <x:c r="C7" s="76" t="str">
        <x:f>Cronograma!C8</x:f>
        <x:v>Revisar modelo HTML</x:v>
      </x:c>
      <x:c r="D7" s="77" t="n">
        <x:f>Cronograma!F8</x:f>
        <x:v>46274</x:v>
      </x:c>
      <x:c r="E7" s="77" t="n">
        <x:f>Cronograma!G8</x:f>
        <x:v>46274</x:v>
      </x:c>
      <x:c r="F7" s="78" t="n">
        <x:f>Cronograma!H8</x:f>
        <x:v>1</x:v>
      </x:c>
      <x:c r="G7" s="79" t="str">
        <x:f>IF(AND(G$5&lt;=Cronograma!$G8,G$5+6&gt;=Cronograma!$F8),IF(Cronograma!$D8="Hito","◆","■"),"")</x:f>
        <x:v>■</x:v>
      </x:c>
      <x:c r="H7" s="79" t="str">
        <x:f>IF(AND(H$5&lt;=Cronograma!$G8,H$5+6&gt;=Cronograma!$F8),IF(Cronograma!$D8="Hito","◆","■"),"")</x:f>
      </x:c>
      <x:c r="I7" s="79" t="str">
        <x:f>IF(AND(I$5&lt;=Cronograma!$G8,I$5+6&gt;=Cronograma!$F8),IF(Cronograma!$D8="Hito","◆","■"),"")</x:f>
      </x:c>
      <x:c r="J7" s="79" t="str">
        <x:f>IF(AND(J$5&lt;=Cronograma!$G8,J$5+6&gt;=Cronograma!$F8),IF(Cronograma!$D8="Hito","◆","■"),"")</x:f>
      </x:c>
      <x:c r="K7" s="79" t="str">
        <x:f>IF(AND(K$5&lt;=Cronograma!$G8,K$5+6&gt;=Cronograma!$F8),IF(Cronograma!$D8="Hito","◆","■"),"")</x:f>
      </x:c>
      <x:c r="L7" s="79" t="str">
        <x:f>IF(AND(L$5&lt;=Cronograma!$G8,L$5+6&gt;=Cronograma!$F8),IF(Cronograma!$D8="Hito","◆","■"),"")</x:f>
      </x:c>
      <x:c r="M7" s="79" t="str">
        <x:f>IF(AND(M$5&lt;=Cronograma!$G8,M$5+6&gt;=Cronograma!$F8),IF(Cronograma!$D8="Hito","◆","■"),"")</x:f>
      </x:c>
      <x:c r="N7" s="79" t="str">
        <x:f>IF(AND(N$5&lt;=Cronograma!$G8,N$5+6&gt;=Cronograma!$F8),IF(Cronograma!$D8="Hito","◆","■"),"")</x:f>
      </x:c>
      <x:c r="O7" s="79" t="str">
        <x:f>IF(AND(O$5&lt;=Cronograma!$G8,O$5+6&gt;=Cronograma!$F8),IF(Cronograma!$D8="Hito","◆","■"),"")</x:f>
      </x:c>
      <x:c r="P7" s="79" t="str">
        <x:f>IF(AND(P$5&lt;=Cronograma!$G8,P$5+6&gt;=Cronograma!$F8),IF(Cronograma!$D8="Hito","◆","■"),"")</x:f>
      </x:c>
      <x:c r="Q7" s="79" t="str">
        <x:f>IF(AND(Q$5&lt;=Cronograma!$G8,Q$5+6&gt;=Cronograma!$F8),IF(Cronograma!$D8="Hito","◆","■"),"")</x:f>
      </x:c>
      <x:c r="R7" s="79" t="str">
        <x:f>IF(AND(R$5&lt;=Cronograma!$G8,R$5+6&gt;=Cronograma!$F8),IF(Cronograma!$D8="Hito","◆","■"),"")</x:f>
      </x:c>
      <x:c r="S7" s="79" t="str">
        <x:f>IF(AND(S$5&lt;=Cronograma!$G8,S$5+6&gt;=Cronograma!$F8),IF(Cronograma!$D8="Hito","◆","■"),"")</x:f>
      </x:c>
      <x:c r="T7" s="79" t="str">
        <x:f>IF(AND(T$5&lt;=Cronograma!$G8,T$5+6&gt;=Cronograma!$F8),IF(Cronograma!$D8="Hito","◆","■"),"")</x:f>
      </x:c>
      <x:c r="U7" s="79" t="str">
        <x:f>IF(AND(U$5&lt;=Cronograma!$G8,U$5+6&gt;=Cronograma!$F8),IF(Cronograma!$D8="Hito","◆","■"),"")</x:f>
      </x:c>
      <x:c r="V7" s="79" t="str">
        <x:f>IF(AND(V$5&lt;=Cronograma!$G8,V$5+6&gt;=Cronograma!$F8),IF(Cronograma!$D8="Hito","◆","■"),"")</x:f>
      </x:c>
      <x:c r="W7" s="79" t="str">
        <x:f>IF(AND(W$5&lt;=Cronograma!$G8,W$5+6&gt;=Cronograma!$F8),IF(Cronograma!$D8="Hito","◆","■"),"")</x:f>
      </x:c>
      <x:c r="X7" s="79" t="str">
        <x:f>IF(AND(X$5&lt;=Cronograma!$G8,X$5+6&gt;=Cronograma!$F8),IF(Cronograma!$D8="Hito","◆","■"),"")</x:f>
      </x:c>
      <x:c r="Y7" s="79" t="str">
        <x:f>IF(AND(Y$5&lt;=Cronograma!$G8,Y$5+6&gt;=Cronograma!$F8),IF(Cronograma!$D8="Hito","◆","■"),"")</x:f>
      </x:c>
      <x:c r="Z7" s="79" t="str">
        <x:f>IF(AND(Z$5&lt;=Cronograma!$G8,Z$5+6&gt;=Cronograma!$F8),IF(Cronograma!$D8="Hito","◆","■"),"")</x:f>
      </x:c>
      <x:c r="AA7" s="79" t="str">
        <x:f>IF(AND(AA$5&lt;=Cronograma!$G8,AA$5+6&gt;=Cronograma!$F8),IF(Cronograma!$D8="Hito","◆","■"),"")</x:f>
      </x:c>
      <x:c r="AB7" s="79" t="str">
        <x:f>IF(AND(AB$5&lt;=Cronograma!$G8,AB$5+6&gt;=Cronograma!$F8),IF(Cronograma!$D8="Hito","◆","■"),"")</x:f>
      </x:c>
      <x:c r="AC7" s="79" t="str">
        <x:f>IF(AND(AC$5&lt;=Cronograma!$G8,AC$5+6&gt;=Cronograma!$F8),IF(Cronograma!$D8="Hito","◆","■"),"")</x:f>
      </x:c>
      <x:c r="AD7" s="79" t="str">
        <x:f>IF(AND(AD$5&lt;=Cronograma!$G8,AD$5+6&gt;=Cronograma!$F8),IF(Cronograma!$D8="Hito","◆","■"),"")</x:f>
      </x:c>
      <x:c r="AE7" s="79" t="str">
        <x:f>IF(AND(AE$5&lt;=Cronograma!$G8,AE$5+6&gt;=Cronograma!$F8),IF(Cronograma!$D8="Hito","◆","■"),"")</x:f>
      </x:c>
    </x:row>
    <x:row r="8" ht="25" customHeight="1">
      <x:c r="A8" s="76" t="str">
        <x:f>Cronograma!A9</x:f>
        <x:v>LM-03</x:v>
      </x:c>
      <x:c r="B8" s="76" t="str">
        <x:f>Cronograma!B9</x:f>
        <x:v>Levantamiento del modelo inicial</x:v>
      </x:c>
      <x:c r="C8" s="76" t="str">
        <x:f>Cronograma!C9</x:f>
        <x:v>Construcción de diagrama entidad relación</x:v>
      </x:c>
      <x:c r="D8" s="77" t="n">
        <x:f>Cronograma!F9</x:f>
        <x:v>46274</x:v>
      </x:c>
      <x:c r="E8" s="77" t="n">
        <x:f>Cronograma!G9</x:f>
        <x:v>46277</x:v>
      </x:c>
      <x:c r="F8" s="78" t="n">
        <x:f>Cronograma!H9</x:f>
        <x:v>4</x:v>
      </x:c>
      <x:c r="G8" s="79" t="str">
        <x:f>IF(AND(G$5&lt;=Cronograma!$G9,G$5+6&gt;=Cronograma!$F9),IF(Cronograma!$D9="Hito","◆","■"),"")</x:f>
        <x:v>■</x:v>
      </x:c>
      <x:c r="H8" s="79" t="str">
        <x:f>IF(AND(H$5&lt;=Cronograma!$G9,H$5+6&gt;=Cronograma!$F9),IF(Cronograma!$D9="Hito","◆","■"),"")</x:f>
      </x:c>
      <x:c r="I8" s="79" t="str">
        <x:f>IF(AND(I$5&lt;=Cronograma!$G9,I$5+6&gt;=Cronograma!$F9),IF(Cronograma!$D9="Hito","◆","■"),"")</x:f>
      </x:c>
      <x:c r="J8" s="79" t="str">
        <x:f>IF(AND(J$5&lt;=Cronograma!$G9,J$5+6&gt;=Cronograma!$F9),IF(Cronograma!$D9="Hito","◆","■"),"")</x:f>
      </x:c>
      <x:c r="K8" s="79" t="str">
        <x:f>IF(AND(K$5&lt;=Cronograma!$G9,K$5+6&gt;=Cronograma!$F9),IF(Cronograma!$D9="Hito","◆","■"),"")</x:f>
      </x:c>
      <x:c r="L8" s="79" t="str">
        <x:f>IF(AND(L$5&lt;=Cronograma!$G9,L$5+6&gt;=Cronograma!$F9),IF(Cronograma!$D9="Hito","◆","■"),"")</x:f>
      </x:c>
      <x:c r="M8" s="79" t="str">
        <x:f>IF(AND(M$5&lt;=Cronograma!$G9,M$5+6&gt;=Cronograma!$F9),IF(Cronograma!$D9="Hito","◆","■"),"")</x:f>
      </x:c>
      <x:c r="N8" s="79" t="str">
        <x:f>IF(AND(N$5&lt;=Cronograma!$G9,N$5+6&gt;=Cronograma!$F9),IF(Cronograma!$D9="Hito","◆","■"),"")</x:f>
      </x:c>
      <x:c r="O8" s="79" t="str">
        <x:f>IF(AND(O$5&lt;=Cronograma!$G9,O$5+6&gt;=Cronograma!$F9),IF(Cronograma!$D9="Hito","◆","■"),"")</x:f>
      </x:c>
      <x:c r="P8" s="79" t="str">
        <x:f>IF(AND(P$5&lt;=Cronograma!$G9,P$5+6&gt;=Cronograma!$F9),IF(Cronograma!$D9="Hito","◆","■"),"")</x:f>
      </x:c>
      <x:c r="Q8" s="79" t="str">
        <x:f>IF(AND(Q$5&lt;=Cronograma!$G9,Q$5+6&gt;=Cronograma!$F9),IF(Cronograma!$D9="Hito","◆","■"),"")</x:f>
      </x:c>
      <x:c r="R8" s="79" t="str">
        <x:f>IF(AND(R$5&lt;=Cronograma!$G9,R$5+6&gt;=Cronograma!$F9),IF(Cronograma!$D9="Hito","◆","■"),"")</x:f>
      </x:c>
      <x:c r="S8" s="79" t="str">
        <x:f>IF(AND(S$5&lt;=Cronograma!$G9,S$5+6&gt;=Cronograma!$F9),IF(Cronograma!$D9="Hito","◆","■"),"")</x:f>
      </x:c>
      <x:c r="T8" s="79" t="str">
        <x:f>IF(AND(T$5&lt;=Cronograma!$G9,T$5+6&gt;=Cronograma!$F9),IF(Cronograma!$D9="Hito","◆","■"),"")</x:f>
      </x:c>
      <x:c r="U8" s="79" t="str">
        <x:f>IF(AND(U$5&lt;=Cronograma!$G9,U$5+6&gt;=Cronograma!$F9),IF(Cronograma!$D9="Hito","◆","■"),"")</x:f>
      </x:c>
      <x:c r="V8" s="79" t="str">
        <x:f>IF(AND(V$5&lt;=Cronograma!$G9,V$5+6&gt;=Cronograma!$F9),IF(Cronograma!$D9="Hito","◆","■"),"")</x:f>
      </x:c>
      <x:c r="W8" s="79" t="str">
        <x:f>IF(AND(W$5&lt;=Cronograma!$G9,W$5+6&gt;=Cronograma!$F9),IF(Cronograma!$D9="Hito","◆","■"),"")</x:f>
      </x:c>
      <x:c r="X8" s="79" t="str">
        <x:f>IF(AND(X$5&lt;=Cronograma!$G9,X$5+6&gt;=Cronograma!$F9),IF(Cronograma!$D9="Hito","◆","■"),"")</x:f>
      </x:c>
      <x:c r="Y8" s="79" t="str">
        <x:f>IF(AND(Y$5&lt;=Cronograma!$G9,Y$5+6&gt;=Cronograma!$F9),IF(Cronograma!$D9="Hito","◆","■"),"")</x:f>
      </x:c>
      <x:c r="Z8" s="79" t="str">
        <x:f>IF(AND(Z$5&lt;=Cronograma!$G9,Z$5+6&gt;=Cronograma!$F9),IF(Cronograma!$D9="Hito","◆","■"),"")</x:f>
      </x:c>
      <x:c r="AA8" s="79" t="str">
        <x:f>IF(AND(AA$5&lt;=Cronograma!$G9,AA$5+6&gt;=Cronograma!$F9),IF(Cronograma!$D9="Hito","◆","■"),"")</x:f>
      </x:c>
      <x:c r="AB8" s="79" t="str">
        <x:f>IF(AND(AB$5&lt;=Cronograma!$G9,AB$5+6&gt;=Cronograma!$F9),IF(Cronograma!$D9="Hito","◆","■"),"")</x:f>
      </x:c>
      <x:c r="AC8" s="79" t="str">
        <x:f>IF(AND(AC$5&lt;=Cronograma!$G9,AC$5+6&gt;=Cronograma!$F9),IF(Cronograma!$D9="Hito","◆","■"),"")</x:f>
      </x:c>
      <x:c r="AD8" s="79" t="str">
        <x:f>IF(AND(AD$5&lt;=Cronograma!$G9,AD$5+6&gt;=Cronograma!$F9),IF(Cronograma!$D9="Hito","◆","■"),"")</x:f>
      </x:c>
      <x:c r="AE8" s="79" t="str">
        <x:f>IF(AND(AE$5&lt;=Cronograma!$G9,AE$5+6&gt;=Cronograma!$F9),IF(Cronograma!$D9="Hito","◆","■"),"")</x:f>
      </x:c>
    </x:row>
    <x:row r="9" ht="25" customHeight="1">
      <x:c r="A9" s="76" t="str">
        <x:f>Cronograma!A10</x:f>
        <x:v>LM-04</x:v>
      </x:c>
      <x:c r="B9" s="76" t="str">
        <x:f>Cronograma!B10</x:f>
        <x:v>Levantamiento del modelo inicial</x:v>
      </x:c>
      <x:c r="C9" s="76" t="str">
        <x:f>Cronograma!C10</x:f>
        <x:v>Validar modelo y alcance con el cliente</x:v>
      </x:c>
      <x:c r="D9" s="77" t="n">
        <x:f>Cronograma!F10</x:f>
        <x:v>46281</x:v>
      </x:c>
      <x:c r="E9" s="77" t="n">
        <x:f>Cronograma!G10</x:f>
        <x:v>46296</x:v>
      </x:c>
      <x:c r="F9" s="78" t="n">
        <x:f>Cronograma!H10</x:f>
        <x:v>16</x:v>
      </x:c>
      <x:c r="G9" s="79" t="str">
        <x:f>IF(AND(G$5&lt;=Cronograma!$G10,G$5+6&gt;=Cronograma!$F10),IF(Cronograma!$D10="Hito","◆","■"),"")</x:f>
      </x:c>
      <x:c r="H9" s="79" t="str">
        <x:f>IF(AND(H$5&lt;=Cronograma!$G10,H$5+6&gt;=Cronograma!$F10),IF(Cronograma!$D10="Hito","◆","■"),"")</x:f>
        <x:v>■</x:v>
      </x:c>
      <x:c r="I9" s="79" t="str">
        <x:f>IF(AND(I$5&lt;=Cronograma!$G10,I$5+6&gt;=Cronograma!$F10),IF(Cronograma!$D10="Hito","◆","■"),"")</x:f>
        <x:v>■</x:v>
      </x:c>
      <x:c r="J9" s="79" t="str">
        <x:f>IF(AND(J$5&lt;=Cronograma!$G10,J$5+6&gt;=Cronograma!$F10),IF(Cronograma!$D10="Hito","◆","■"),"")</x:f>
        <x:v>■</x:v>
      </x:c>
      <x:c r="K9" s="79" t="str">
        <x:f>IF(AND(K$5&lt;=Cronograma!$G10,K$5+6&gt;=Cronograma!$F10),IF(Cronograma!$D10="Hito","◆","■"),"")</x:f>
      </x:c>
      <x:c r="L9" s="79" t="str">
        <x:f>IF(AND(L$5&lt;=Cronograma!$G10,L$5+6&gt;=Cronograma!$F10),IF(Cronograma!$D10="Hito","◆","■"),"")</x:f>
      </x:c>
      <x:c r="M9" s="79" t="str">
        <x:f>IF(AND(M$5&lt;=Cronograma!$G10,M$5+6&gt;=Cronograma!$F10),IF(Cronograma!$D10="Hito","◆","■"),"")</x:f>
      </x:c>
      <x:c r="N9" s="79" t="str">
        <x:f>IF(AND(N$5&lt;=Cronograma!$G10,N$5+6&gt;=Cronograma!$F10),IF(Cronograma!$D10="Hito","◆","■"),"")</x:f>
      </x:c>
      <x:c r="O9" s="79" t="str">
        <x:f>IF(AND(O$5&lt;=Cronograma!$G10,O$5+6&gt;=Cronograma!$F10),IF(Cronograma!$D10="Hito","◆","■"),"")</x:f>
      </x:c>
      <x:c r="P9" s="79" t="str">
        <x:f>IF(AND(P$5&lt;=Cronograma!$G10,P$5+6&gt;=Cronograma!$F10),IF(Cronograma!$D10="Hito","◆","■"),"")</x:f>
      </x:c>
      <x:c r="Q9" s="79" t="str">
        <x:f>IF(AND(Q$5&lt;=Cronograma!$G10,Q$5+6&gt;=Cronograma!$F10),IF(Cronograma!$D10="Hito","◆","■"),"")</x:f>
      </x:c>
      <x:c r="R9" s="79" t="str">
        <x:f>IF(AND(R$5&lt;=Cronograma!$G10,R$5+6&gt;=Cronograma!$F10),IF(Cronograma!$D10="Hito","◆","■"),"")</x:f>
      </x:c>
      <x:c r="S9" s="79" t="str">
        <x:f>IF(AND(S$5&lt;=Cronograma!$G10,S$5+6&gt;=Cronograma!$F10),IF(Cronograma!$D10="Hito","◆","■"),"")</x:f>
      </x:c>
      <x:c r="T9" s="79" t="str">
        <x:f>IF(AND(T$5&lt;=Cronograma!$G10,T$5+6&gt;=Cronograma!$F10),IF(Cronograma!$D10="Hito","◆","■"),"")</x:f>
      </x:c>
      <x:c r="U9" s="79" t="str">
        <x:f>IF(AND(U$5&lt;=Cronograma!$G10,U$5+6&gt;=Cronograma!$F10),IF(Cronograma!$D10="Hito","◆","■"),"")</x:f>
      </x:c>
      <x:c r="V9" s="79" t="str">
        <x:f>IF(AND(V$5&lt;=Cronograma!$G10,V$5+6&gt;=Cronograma!$F10),IF(Cronograma!$D10="Hito","◆","■"),"")</x:f>
      </x:c>
      <x:c r="W9" s="79" t="str">
        <x:f>IF(AND(W$5&lt;=Cronograma!$G10,W$5+6&gt;=Cronograma!$F10),IF(Cronograma!$D10="Hito","◆","■"),"")</x:f>
      </x:c>
      <x:c r="X9" s="79" t="str">
        <x:f>IF(AND(X$5&lt;=Cronograma!$G10,X$5+6&gt;=Cronograma!$F10),IF(Cronograma!$D10="Hito","◆","■"),"")</x:f>
      </x:c>
      <x:c r="Y9" s="79" t="str">
        <x:f>IF(AND(Y$5&lt;=Cronograma!$G10,Y$5+6&gt;=Cronograma!$F10),IF(Cronograma!$D10="Hito","◆","■"),"")</x:f>
      </x:c>
      <x:c r="Z9" s="79" t="str">
        <x:f>IF(AND(Z$5&lt;=Cronograma!$G10,Z$5+6&gt;=Cronograma!$F10),IF(Cronograma!$D10="Hito","◆","■"),"")</x:f>
      </x:c>
      <x:c r="AA9" s="79" t="str">
        <x:f>IF(AND(AA$5&lt;=Cronograma!$G10,AA$5+6&gt;=Cronograma!$F10),IF(Cronograma!$D10="Hito","◆","■"),"")</x:f>
      </x:c>
      <x:c r="AB9" s="79" t="str">
        <x:f>IF(AND(AB$5&lt;=Cronograma!$G10,AB$5+6&gt;=Cronograma!$F10),IF(Cronograma!$D10="Hito","◆","■"),"")</x:f>
      </x:c>
      <x:c r="AC9" s="79" t="str">
        <x:f>IF(AND(AC$5&lt;=Cronograma!$G10,AC$5+6&gt;=Cronograma!$F10),IF(Cronograma!$D10="Hito","◆","■"),"")</x:f>
      </x:c>
      <x:c r="AD9" s="79" t="str">
        <x:f>IF(AND(AD$5&lt;=Cronograma!$G10,AD$5+6&gt;=Cronograma!$F10),IF(Cronograma!$D10="Hito","◆","■"),"")</x:f>
      </x:c>
      <x:c r="AE9" s="79" t="str">
        <x:f>IF(AND(AE$5&lt;=Cronograma!$G10,AE$5+6&gt;=Cronograma!$F10),IF(Cronograma!$D10="Hito","◆","■"),"")</x:f>
      </x:c>
    </x:row>
    <x:row r="10" ht="25" customHeight="1">
      <x:c r="A10" s="76" t="str">
        <x:f>Cronograma!A11</x:f>
        <x:v>LM-05</x:v>
      </x:c>
      <x:c r="B10" s="76" t="str">
        <x:f>Cronograma!B11</x:f>
        <x:v>Levantamiento del modelo inicial</x:v>
      </x:c>
      <x:c r="C10" s="76" t="str">
        <x:f>Cronograma!C11</x:f>
        <x:v>Definir perfiles y accesos a plataforma y proyectos</x:v>
      </x:c>
      <x:c r="D10" s="77" t="n">
        <x:f>Cronograma!F11</x:f>
        <x:v>46281</x:v>
      </x:c>
      <x:c r="E10" s="77" t="n">
        <x:f>Cronograma!G11</x:f>
        <x:v>46296</x:v>
      </x:c>
      <x:c r="F10" s="78" t="n">
        <x:f>Cronograma!H11</x:f>
        <x:v>16</x:v>
      </x:c>
      <x:c r="G10" s="79" t="str">
        <x:f>IF(AND(G$5&lt;=Cronograma!$G11,G$5+6&gt;=Cronograma!$F11),IF(Cronograma!$D11="Hito","◆","■"),"")</x:f>
      </x:c>
      <x:c r="H10" s="79" t="str">
        <x:f>IF(AND(H$5&lt;=Cronograma!$G11,H$5+6&gt;=Cronograma!$F11),IF(Cronograma!$D11="Hito","◆","■"),"")</x:f>
        <x:v>■</x:v>
      </x:c>
      <x:c r="I10" s="79" t="str">
        <x:f>IF(AND(I$5&lt;=Cronograma!$G11,I$5+6&gt;=Cronograma!$F11),IF(Cronograma!$D11="Hito","◆","■"),"")</x:f>
        <x:v>■</x:v>
      </x:c>
      <x:c r="J10" s="79" t="str">
        <x:f>IF(AND(J$5&lt;=Cronograma!$G11,J$5+6&gt;=Cronograma!$F11),IF(Cronograma!$D11="Hito","◆","■"),"")</x:f>
        <x:v>■</x:v>
      </x:c>
      <x:c r="K10" s="79" t="str">
        <x:f>IF(AND(K$5&lt;=Cronograma!$G11,K$5+6&gt;=Cronograma!$F11),IF(Cronograma!$D11="Hito","◆","■"),"")</x:f>
      </x:c>
      <x:c r="L10" s="79" t="str">
        <x:f>IF(AND(L$5&lt;=Cronograma!$G11,L$5+6&gt;=Cronograma!$F11),IF(Cronograma!$D11="Hito","◆","■"),"")</x:f>
      </x:c>
      <x:c r="M10" s="79" t="str">
        <x:f>IF(AND(M$5&lt;=Cronograma!$G11,M$5+6&gt;=Cronograma!$F11),IF(Cronograma!$D11="Hito","◆","■"),"")</x:f>
      </x:c>
      <x:c r="N10" s="79" t="str">
        <x:f>IF(AND(N$5&lt;=Cronograma!$G11,N$5+6&gt;=Cronograma!$F11),IF(Cronograma!$D11="Hito","◆","■"),"")</x:f>
      </x:c>
      <x:c r="O10" s="79" t="str">
        <x:f>IF(AND(O$5&lt;=Cronograma!$G11,O$5+6&gt;=Cronograma!$F11),IF(Cronograma!$D11="Hito","◆","■"),"")</x:f>
      </x:c>
      <x:c r="P10" s="79" t="str">
        <x:f>IF(AND(P$5&lt;=Cronograma!$G11,P$5+6&gt;=Cronograma!$F11),IF(Cronograma!$D11="Hito","◆","■"),"")</x:f>
      </x:c>
      <x:c r="Q10" s="79" t="str">
        <x:f>IF(AND(Q$5&lt;=Cronograma!$G11,Q$5+6&gt;=Cronograma!$F11),IF(Cronograma!$D11="Hito","◆","■"),"")</x:f>
      </x:c>
      <x:c r="R10" s="79" t="str">
        <x:f>IF(AND(R$5&lt;=Cronograma!$G11,R$5+6&gt;=Cronograma!$F11),IF(Cronograma!$D11="Hito","◆","■"),"")</x:f>
      </x:c>
      <x:c r="S10" s="79" t="str">
        <x:f>IF(AND(S$5&lt;=Cronograma!$G11,S$5+6&gt;=Cronograma!$F11),IF(Cronograma!$D11="Hito","◆","■"),"")</x:f>
      </x:c>
      <x:c r="T10" s="79" t="str">
        <x:f>IF(AND(T$5&lt;=Cronograma!$G11,T$5+6&gt;=Cronograma!$F11),IF(Cronograma!$D11="Hito","◆","■"),"")</x:f>
      </x:c>
      <x:c r="U10" s="79" t="str">
        <x:f>IF(AND(U$5&lt;=Cronograma!$G11,U$5+6&gt;=Cronograma!$F11),IF(Cronograma!$D11="Hito","◆","■"),"")</x:f>
      </x:c>
      <x:c r="V10" s="79" t="str">
        <x:f>IF(AND(V$5&lt;=Cronograma!$G11,V$5+6&gt;=Cronograma!$F11),IF(Cronograma!$D11="Hito","◆","■"),"")</x:f>
      </x:c>
      <x:c r="W10" s="79" t="str">
        <x:f>IF(AND(W$5&lt;=Cronograma!$G11,W$5+6&gt;=Cronograma!$F11),IF(Cronograma!$D11="Hito","◆","■"),"")</x:f>
      </x:c>
      <x:c r="X10" s="79" t="str">
        <x:f>IF(AND(X$5&lt;=Cronograma!$G11,X$5+6&gt;=Cronograma!$F11),IF(Cronograma!$D11="Hito","◆","■"),"")</x:f>
      </x:c>
      <x:c r="Y10" s="79" t="str">
        <x:f>IF(AND(Y$5&lt;=Cronograma!$G11,Y$5+6&gt;=Cronograma!$F11),IF(Cronograma!$D11="Hito","◆","■"),"")</x:f>
      </x:c>
      <x:c r="Z10" s="79" t="str">
        <x:f>IF(AND(Z$5&lt;=Cronograma!$G11,Z$5+6&gt;=Cronograma!$F11),IF(Cronograma!$D11="Hito","◆","■"),"")</x:f>
      </x:c>
      <x:c r="AA10" s="79" t="str">
        <x:f>IF(AND(AA$5&lt;=Cronograma!$G11,AA$5+6&gt;=Cronograma!$F11),IF(Cronograma!$D11="Hito","◆","■"),"")</x:f>
      </x:c>
      <x:c r="AB10" s="79" t="str">
        <x:f>IF(AND(AB$5&lt;=Cronograma!$G11,AB$5+6&gt;=Cronograma!$F11),IF(Cronograma!$D11="Hito","◆","■"),"")</x:f>
      </x:c>
      <x:c r="AC10" s="79" t="str">
        <x:f>IF(AND(AC$5&lt;=Cronograma!$G11,AC$5+6&gt;=Cronograma!$F11),IF(Cronograma!$D11="Hito","◆","■"),"")</x:f>
      </x:c>
      <x:c r="AD10" s="79" t="str">
        <x:f>IF(AND(AD$5&lt;=Cronograma!$G11,AD$5+6&gt;=Cronograma!$F11),IF(Cronograma!$D11="Hito","◆","■"),"")</x:f>
      </x:c>
      <x:c r="AE10" s="79" t="str">
        <x:f>IF(AND(AE$5&lt;=Cronograma!$G11,AE$5+6&gt;=Cronograma!$F11),IF(Cronograma!$D11="Hito","◆","■"),"")</x:f>
      </x:c>
    </x:row>
    <x:row r="11" ht="25" customHeight="1">
      <x:c r="A11" s="80" t="str">
        <x:f>Cronograma!A12</x:f>
        <x:v>LM-H1</x:v>
      </x:c>
      <x:c r="B11" s="80" t="str">
        <x:f>Cronograma!B12</x:f>
        <x:v>Levantamiento del modelo inicial</x:v>
      </x:c>
      <x:c r="C11" s="80" t="str">
        <x:f>Cronograma!C12</x:f>
        <x:v>Hito: Aprobaciòn del modelo de la plataforma</x:v>
      </x:c>
      <x:c r="D11" s="81" t="n">
        <x:f>Cronograma!F12</x:f>
        <x:v>46297</x:v>
      </x:c>
      <x:c r="E11" s="81" t="n">
        <x:f>Cronograma!G12</x:f>
        <x:v>46297</x:v>
      </x:c>
      <x:c r="F11" s="82" t="n">
        <x:f>Cronograma!H12</x:f>
        <x:v>1</x:v>
      </x:c>
      <x:c r="G11" s="83" t="str">
        <x:f>IF(AND(G$5&lt;=Cronograma!$G12,G$5+6&gt;=Cronograma!$F12),IF(Cronograma!$D12="Hito","◆","■"),"")</x:f>
      </x:c>
      <x:c r="H11" s="83" t="str">
        <x:f>IF(AND(H$5&lt;=Cronograma!$G12,H$5+6&gt;=Cronograma!$F12),IF(Cronograma!$D12="Hito","◆","■"),"")</x:f>
      </x:c>
      <x:c r="I11" s="83" t="str">
        <x:f>IF(AND(I$5&lt;=Cronograma!$G12,I$5+6&gt;=Cronograma!$F12),IF(Cronograma!$D12="Hito","◆","■"),"")</x:f>
      </x:c>
      <x:c r="J11" s="83" t="str">
        <x:f>IF(AND(J$5&lt;=Cronograma!$G12,J$5+6&gt;=Cronograma!$F12),IF(Cronograma!$D12="Hito","◆","■"),"")</x:f>
        <x:v>◆</x:v>
      </x:c>
      <x:c r="K11" s="83" t="str">
        <x:f>IF(AND(K$5&lt;=Cronograma!$G12,K$5+6&gt;=Cronograma!$F12),IF(Cronograma!$D12="Hito","◆","■"),"")</x:f>
      </x:c>
      <x:c r="L11" s="83" t="str">
        <x:f>IF(AND(L$5&lt;=Cronograma!$G12,L$5+6&gt;=Cronograma!$F12),IF(Cronograma!$D12="Hito","◆","■"),"")</x:f>
      </x:c>
      <x:c r="M11" s="83" t="str">
        <x:f>IF(AND(M$5&lt;=Cronograma!$G12,M$5+6&gt;=Cronograma!$F12),IF(Cronograma!$D12="Hito","◆","■"),"")</x:f>
      </x:c>
      <x:c r="N11" s="83" t="str">
        <x:f>IF(AND(N$5&lt;=Cronograma!$G12,N$5+6&gt;=Cronograma!$F12),IF(Cronograma!$D12="Hito","◆","■"),"")</x:f>
      </x:c>
      <x:c r="O11" s="83" t="str">
        <x:f>IF(AND(O$5&lt;=Cronograma!$G12,O$5+6&gt;=Cronograma!$F12),IF(Cronograma!$D12="Hito","◆","■"),"")</x:f>
      </x:c>
      <x:c r="P11" s="83" t="str">
        <x:f>IF(AND(P$5&lt;=Cronograma!$G12,P$5+6&gt;=Cronograma!$F12),IF(Cronograma!$D12="Hito","◆","■"),"")</x:f>
      </x:c>
      <x:c r="Q11" s="83" t="str">
        <x:f>IF(AND(Q$5&lt;=Cronograma!$G12,Q$5+6&gt;=Cronograma!$F12),IF(Cronograma!$D12="Hito","◆","■"),"")</x:f>
      </x:c>
      <x:c r="R11" s="83" t="str">
        <x:f>IF(AND(R$5&lt;=Cronograma!$G12,R$5+6&gt;=Cronograma!$F12),IF(Cronograma!$D12="Hito","◆","■"),"")</x:f>
      </x:c>
      <x:c r="S11" s="83" t="str">
        <x:f>IF(AND(S$5&lt;=Cronograma!$G12,S$5+6&gt;=Cronograma!$F12),IF(Cronograma!$D12="Hito","◆","■"),"")</x:f>
      </x:c>
      <x:c r="T11" s="83" t="str">
        <x:f>IF(AND(T$5&lt;=Cronograma!$G12,T$5+6&gt;=Cronograma!$F12),IF(Cronograma!$D12="Hito","◆","■"),"")</x:f>
      </x:c>
      <x:c r="U11" s="83" t="str">
        <x:f>IF(AND(U$5&lt;=Cronograma!$G12,U$5+6&gt;=Cronograma!$F12),IF(Cronograma!$D12="Hito","◆","■"),"")</x:f>
      </x:c>
      <x:c r="V11" s="83" t="str">
        <x:f>IF(AND(V$5&lt;=Cronograma!$G12,V$5+6&gt;=Cronograma!$F12),IF(Cronograma!$D12="Hito","◆","■"),"")</x:f>
      </x:c>
      <x:c r="W11" s="83" t="str">
        <x:f>IF(AND(W$5&lt;=Cronograma!$G12,W$5+6&gt;=Cronograma!$F12),IF(Cronograma!$D12="Hito","◆","■"),"")</x:f>
      </x:c>
      <x:c r="X11" s="83" t="str">
        <x:f>IF(AND(X$5&lt;=Cronograma!$G12,X$5+6&gt;=Cronograma!$F12),IF(Cronograma!$D12="Hito","◆","■"),"")</x:f>
      </x:c>
      <x:c r="Y11" s="83" t="str">
        <x:f>IF(AND(Y$5&lt;=Cronograma!$G12,Y$5+6&gt;=Cronograma!$F12),IF(Cronograma!$D12="Hito","◆","■"),"")</x:f>
      </x:c>
      <x:c r="Z11" s="83" t="str">
        <x:f>IF(AND(Z$5&lt;=Cronograma!$G12,Z$5+6&gt;=Cronograma!$F12),IF(Cronograma!$D12="Hito","◆","■"),"")</x:f>
      </x:c>
      <x:c r="AA11" s="83" t="str">
        <x:f>IF(AND(AA$5&lt;=Cronograma!$G12,AA$5+6&gt;=Cronograma!$F12),IF(Cronograma!$D12="Hito","◆","■"),"")</x:f>
      </x:c>
      <x:c r="AB11" s="83" t="str">
        <x:f>IF(AND(AB$5&lt;=Cronograma!$G12,AB$5+6&gt;=Cronograma!$F12),IF(Cronograma!$D12="Hito","◆","■"),"")</x:f>
      </x:c>
      <x:c r="AC11" s="83" t="str">
        <x:f>IF(AND(AC$5&lt;=Cronograma!$G12,AC$5+6&gt;=Cronograma!$F12),IF(Cronograma!$D12="Hito","◆","■"),"")</x:f>
      </x:c>
      <x:c r="AD11" s="83" t="str">
        <x:f>IF(AND(AD$5&lt;=Cronograma!$G12,AD$5+6&gt;=Cronograma!$F12),IF(Cronograma!$D12="Hito","◆","■"),"")</x:f>
      </x:c>
      <x:c r="AE11" s="83" t="str">
        <x:f>IF(AND(AE$5&lt;=Cronograma!$G12,AE$5+6&gt;=Cronograma!$F12),IF(Cronograma!$D12="Hito","◆","■"),"")</x:f>
      </x:c>
    </x:row>
    <x:row r="12" ht="25" customHeight="1">
      <x:c r="A12" s="76" t="str">
        <x:f>Cronograma!A13</x:f>
        <x:v>PA-01</x:v>
      </x:c>
      <x:c r="B12" s="76" t="str">
        <x:f>Cronograma!B13</x:f>
        <x:v>Preparación de ambiente de trabajo</x:v>
      </x:c>
      <x:c r="C12" s="76" t="str">
        <x:f>Cronograma!C13</x:f>
        <x:v>Revisión de arquitectura, ambientes y seguridad</x:v>
      </x:c>
      <x:c r="D12" s="77" t="n">
        <x:f>Cronograma!F13</x:f>
        <x:v>46293</x:v>
      </x:c>
      <x:c r="E12" s="77" t="n">
        <x:f>Cronograma!G13</x:f>
        <x:v>46304</x:v>
      </x:c>
      <x:c r="F12" s="78" t="n">
        <x:f>Cronograma!H13</x:f>
        <x:v>12</x:v>
      </x:c>
      <x:c r="G12" s="79" t="str">
        <x:f>IF(AND(G$5&lt;=Cronograma!$G13,G$5+6&gt;=Cronograma!$F13),IF(Cronograma!$D13="Hito","◆","■"),"")</x:f>
      </x:c>
      <x:c r="H12" s="79" t="str">
        <x:f>IF(AND(H$5&lt;=Cronograma!$G13,H$5+6&gt;=Cronograma!$F13),IF(Cronograma!$D13="Hito","◆","■"),"")</x:f>
      </x:c>
      <x:c r="I12" s="79" t="str">
        <x:f>IF(AND(I$5&lt;=Cronograma!$G13,I$5+6&gt;=Cronograma!$F13),IF(Cronograma!$D13="Hito","◆","■"),"")</x:f>
      </x:c>
      <x:c r="J12" s="79" t="str">
        <x:f>IF(AND(J$5&lt;=Cronograma!$G13,J$5+6&gt;=Cronograma!$F13),IF(Cronograma!$D13="Hito","◆","■"),"")</x:f>
        <x:v>■</x:v>
      </x:c>
      <x:c r="K12" s="79" t="str">
        <x:f>IF(AND(K$5&lt;=Cronograma!$G13,K$5+6&gt;=Cronograma!$F13),IF(Cronograma!$D13="Hito","◆","■"),"")</x:f>
        <x:v>■</x:v>
      </x:c>
      <x:c r="L12" s="79" t="str">
        <x:f>IF(AND(L$5&lt;=Cronograma!$G13,L$5+6&gt;=Cronograma!$F13),IF(Cronograma!$D13="Hito","◆","■"),"")</x:f>
      </x:c>
      <x:c r="M12" s="79" t="str">
        <x:f>IF(AND(M$5&lt;=Cronograma!$G13,M$5+6&gt;=Cronograma!$F13),IF(Cronograma!$D13="Hito","◆","■"),"")</x:f>
      </x:c>
      <x:c r="N12" s="79" t="str">
        <x:f>IF(AND(N$5&lt;=Cronograma!$G13,N$5+6&gt;=Cronograma!$F13),IF(Cronograma!$D13="Hito","◆","■"),"")</x:f>
      </x:c>
      <x:c r="O12" s="79" t="str">
        <x:f>IF(AND(O$5&lt;=Cronograma!$G13,O$5+6&gt;=Cronograma!$F13),IF(Cronograma!$D13="Hito","◆","■"),"")</x:f>
      </x:c>
      <x:c r="P12" s="79" t="str">
        <x:f>IF(AND(P$5&lt;=Cronograma!$G13,P$5+6&gt;=Cronograma!$F13),IF(Cronograma!$D13="Hito","◆","■"),"")</x:f>
      </x:c>
      <x:c r="Q12" s="79" t="str">
        <x:f>IF(AND(Q$5&lt;=Cronograma!$G13,Q$5+6&gt;=Cronograma!$F13),IF(Cronograma!$D13="Hito","◆","■"),"")</x:f>
      </x:c>
      <x:c r="R12" s="79" t="str">
        <x:f>IF(AND(R$5&lt;=Cronograma!$G13,R$5+6&gt;=Cronograma!$F13),IF(Cronograma!$D13="Hito","◆","■"),"")</x:f>
      </x:c>
      <x:c r="S12" s="79" t="str">
        <x:f>IF(AND(S$5&lt;=Cronograma!$G13,S$5+6&gt;=Cronograma!$F13),IF(Cronograma!$D13="Hito","◆","■"),"")</x:f>
      </x:c>
      <x:c r="T12" s="79" t="str">
        <x:f>IF(AND(T$5&lt;=Cronograma!$G13,T$5+6&gt;=Cronograma!$F13),IF(Cronograma!$D13="Hito","◆","■"),"")</x:f>
      </x:c>
      <x:c r="U12" s="79" t="str">
        <x:f>IF(AND(U$5&lt;=Cronograma!$G13,U$5+6&gt;=Cronograma!$F13),IF(Cronograma!$D13="Hito","◆","■"),"")</x:f>
      </x:c>
      <x:c r="V12" s="79" t="str">
        <x:f>IF(AND(V$5&lt;=Cronograma!$G13,V$5+6&gt;=Cronograma!$F13),IF(Cronograma!$D13="Hito","◆","■"),"")</x:f>
      </x:c>
      <x:c r="W12" s="79" t="str">
        <x:f>IF(AND(W$5&lt;=Cronograma!$G13,W$5+6&gt;=Cronograma!$F13),IF(Cronograma!$D13="Hito","◆","■"),"")</x:f>
      </x:c>
      <x:c r="X12" s="79" t="str">
        <x:f>IF(AND(X$5&lt;=Cronograma!$G13,X$5+6&gt;=Cronograma!$F13),IF(Cronograma!$D13="Hito","◆","■"),"")</x:f>
      </x:c>
      <x:c r="Y12" s="79" t="str">
        <x:f>IF(AND(Y$5&lt;=Cronograma!$G13,Y$5+6&gt;=Cronograma!$F13),IF(Cronograma!$D13="Hito","◆","■"),"")</x:f>
      </x:c>
      <x:c r="Z12" s="79" t="str">
        <x:f>IF(AND(Z$5&lt;=Cronograma!$G13,Z$5+6&gt;=Cronograma!$F13),IF(Cronograma!$D13="Hito","◆","■"),"")</x:f>
      </x:c>
      <x:c r="AA12" s="79" t="str">
        <x:f>IF(AND(AA$5&lt;=Cronograma!$G13,AA$5+6&gt;=Cronograma!$F13),IF(Cronograma!$D13="Hito","◆","■"),"")</x:f>
      </x:c>
      <x:c r="AB12" s="79" t="str">
        <x:f>IF(AND(AB$5&lt;=Cronograma!$G13,AB$5+6&gt;=Cronograma!$F13),IF(Cronograma!$D13="Hito","◆","■"),"")</x:f>
      </x:c>
      <x:c r="AC12" s="79" t="str">
        <x:f>IF(AND(AC$5&lt;=Cronograma!$G13,AC$5+6&gt;=Cronograma!$F13),IF(Cronograma!$D13="Hito","◆","■"),"")</x:f>
      </x:c>
      <x:c r="AD12" s="79" t="str">
        <x:f>IF(AND(AD$5&lt;=Cronograma!$G13,AD$5+6&gt;=Cronograma!$F13),IF(Cronograma!$D13="Hito","◆","■"),"")</x:f>
      </x:c>
      <x:c r="AE12" s="79" t="str">
        <x:f>IF(AND(AE$5&lt;=Cronograma!$G13,AE$5+6&gt;=Cronograma!$F13),IF(Cronograma!$D13="Hito","◆","■"),"")</x:f>
      </x:c>
    </x:row>
    <x:row r="13" ht="25" customHeight="1">
      <x:c r="A13" s="76" t="str">
        <x:f>Cronograma!A14</x:f>
        <x:v>PA-02</x:v>
      </x:c>
      <x:c r="B13" s="76" t="str">
        <x:f>Cronograma!B14</x:f>
        <x:v>Preparación de ambiente de trabajo</x:v>
      </x:c>
      <x:c r="C13" s="76" t="str">
        <x:f>Cronograma!C14</x:f>
        <x:v>Configuración IDE</x:v>
      </x:c>
      <x:c r="D13" s="77" t="n">
        <x:f>Cronograma!F14</x:f>
        <x:v>46300</x:v>
      </x:c>
      <x:c r="E13" s="77" t="n">
        <x:f>Cronograma!G14</x:f>
        <x:v>46304</x:v>
      </x:c>
      <x:c r="F13" s="78" t="n">
        <x:f>Cronograma!H14</x:f>
        <x:v>5</x:v>
      </x:c>
      <x:c r="G13" s="79" t="str">
        <x:f>IF(AND(G$5&lt;=Cronograma!$G14,G$5+6&gt;=Cronograma!$F14),IF(Cronograma!$D14="Hito","◆","■"),"")</x:f>
      </x:c>
      <x:c r="H13" s="79" t="str">
        <x:f>IF(AND(H$5&lt;=Cronograma!$G14,H$5+6&gt;=Cronograma!$F14),IF(Cronograma!$D14="Hito","◆","■"),"")</x:f>
      </x:c>
      <x:c r="I13" s="79" t="str">
        <x:f>IF(AND(I$5&lt;=Cronograma!$G14,I$5+6&gt;=Cronograma!$F14),IF(Cronograma!$D14="Hito","◆","■"),"")</x:f>
      </x:c>
      <x:c r="J13" s="79" t="str">
        <x:f>IF(AND(J$5&lt;=Cronograma!$G14,J$5+6&gt;=Cronograma!$F14),IF(Cronograma!$D14="Hito","◆","■"),"")</x:f>
      </x:c>
      <x:c r="K13" s="79" t="str">
        <x:f>IF(AND(K$5&lt;=Cronograma!$G14,K$5+6&gt;=Cronograma!$F14),IF(Cronograma!$D14="Hito","◆","■"),"")</x:f>
        <x:v>■</x:v>
      </x:c>
      <x:c r="L13" s="79" t="str">
        <x:f>IF(AND(L$5&lt;=Cronograma!$G14,L$5+6&gt;=Cronograma!$F14),IF(Cronograma!$D14="Hito","◆","■"),"")</x:f>
      </x:c>
      <x:c r="M13" s="79" t="str">
        <x:f>IF(AND(M$5&lt;=Cronograma!$G14,M$5+6&gt;=Cronograma!$F14),IF(Cronograma!$D14="Hito","◆","■"),"")</x:f>
      </x:c>
      <x:c r="N13" s="79" t="str">
        <x:f>IF(AND(N$5&lt;=Cronograma!$G14,N$5+6&gt;=Cronograma!$F14),IF(Cronograma!$D14="Hito","◆","■"),"")</x:f>
      </x:c>
      <x:c r="O13" s="79" t="str">
        <x:f>IF(AND(O$5&lt;=Cronograma!$G14,O$5+6&gt;=Cronograma!$F14),IF(Cronograma!$D14="Hito","◆","■"),"")</x:f>
      </x:c>
      <x:c r="P13" s="79" t="str">
        <x:f>IF(AND(P$5&lt;=Cronograma!$G14,P$5+6&gt;=Cronograma!$F14),IF(Cronograma!$D14="Hito","◆","■"),"")</x:f>
      </x:c>
      <x:c r="Q13" s="79" t="str">
        <x:f>IF(AND(Q$5&lt;=Cronograma!$G14,Q$5+6&gt;=Cronograma!$F14),IF(Cronograma!$D14="Hito","◆","■"),"")</x:f>
      </x:c>
      <x:c r="R13" s="79" t="str">
        <x:f>IF(AND(R$5&lt;=Cronograma!$G14,R$5+6&gt;=Cronograma!$F14),IF(Cronograma!$D14="Hito","◆","■"),"")</x:f>
      </x:c>
      <x:c r="S13" s="79" t="str">
        <x:f>IF(AND(S$5&lt;=Cronograma!$G14,S$5+6&gt;=Cronograma!$F14),IF(Cronograma!$D14="Hito","◆","■"),"")</x:f>
      </x:c>
      <x:c r="T13" s="79" t="str">
        <x:f>IF(AND(T$5&lt;=Cronograma!$G14,T$5+6&gt;=Cronograma!$F14),IF(Cronograma!$D14="Hito","◆","■"),"")</x:f>
      </x:c>
      <x:c r="U13" s="79" t="str">
        <x:f>IF(AND(U$5&lt;=Cronograma!$G14,U$5+6&gt;=Cronograma!$F14),IF(Cronograma!$D14="Hito","◆","■"),"")</x:f>
      </x:c>
      <x:c r="V13" s="79" t="str">
        <x:f>IF(AND(V$5&lt;=Cronograma!$G14,V$5+6&gt;=Cronograma!$F14),IF(Cronograma!$D14="Hito","◆","■"),"")</x:f>
      </x:c>
      <x:c r="W13" s="79" t="str">
        <x:f>IF(AND(W$5&lt;=Cronograma!$G14,W$5+6&gt;=Cronograma!$F14),IF(Cronograma!$D14="Hito","◆","■"),"")</x:f>
      </x:c>
      <x:c r="X13" s="79" t="str">
        <x:f>IF(AND(X$5&lt;=Cronograma!$G14,X$5+6&gt;=Cronograma!$F14),IF(Cronograma!$D14="Hito","◆","■"),"")</x:f>
      </x:c>
      <x:c r="Y13" s="79" t="str">
        <x:f>IF(AND(Y$5&lt;=Cronograma!$G14,Y$5+6&gt;=Cronograma!$F14),IF(Cronograma!$D14="Hito","◆","■"),"")</x:f>
      </x:c>
      <x:c r="Z13" s="79" t="str">
        <x:f>IF(AND(Z$5&lt;=Cronograma!$G14,Z$5+6&gt;=Cronograma!$F14),IF(Cronograma!$D14="Hito","◆","■"),"")</x:f>
      </x:c>
      <x:c r="AA13" s="79" t="str">
        <x:f>IF(AND(AA$5&lt;=Cronograma!$G14,AA$5+6&gt;=Cronograma!$F14),IF(Cronograma!$D14="Hito","◆","■"),"")</x:f>
      </x:c>
      <x:c r="AB13" s="79" t="str">
        <x:f>IF(AND(AB$5&lt;=Cronograma!$G14,AB$5+6&gt;=Cronograma!$F14),IF(Cronograma!$D14="Hito","◆","■"),"")</x:f>
      </x:c>
      <x:c r="AC13" s="79" t="str">
        <x:f>IF(AND(AC$5&lt;=Cronograma!$G14,AC$5+6&gt;=Cronograma!$F14),IF(Cronograma!$D14="Hito","◆","■"),"")</x:f>
      </x:c>
      <x:c r="AD13" s="79" t="str">
        <x:f>IF(AND(AD$5&lt;=Cronograma!$G14,AD$5+6&gt;=Cronograma!$F14),IF(Cronograma!$D14="Hito","◆","■"),"")</x:f>
      </x:c>
      <x:c r="AE13" s="79" t="str">
        <x:f>IF(AND(AE$5&lt;=Cronograma!$G14,AE$5+6&gt;=Cronograma!$F14),IF(Cronograma!$D14="Hito","◆","■"),"")</x:f>
      </x:c>
    </x:row>
    <x:row r="14" ht="25" customHeight="1">
      <x:c r="A14" s="76" t="str">
        <x:f>Cronograma!A15</x:f>
        <x:v>PA-03</x:v>
      </x:c>
      <x:c r="B14" s="76" t="str">
        <x:f>Cronograma!B15</x:f>
        <x:v>Preparación de ambiente de trabajo</x:v>
      </x:c>
      <x:c r="C14" s="76" t="str">
        <x:f>Cronograma!C15</x:f>
        <x:v>Instalaciòn de librerias backend y frontend</x:v>
      </x:c>
      <x:c r="D14" s="77" t="n">
        <x:f>Cronograma!F15</x:f>
        <x:v>46302</x:v>
      </x:c>
      <x:c r="E14" s="77" t="n">
        <x:f>Cronograma!G15</x:f>
        <x:v>46311</x:v>
      </x:c>
      <x:c r="F14" s="78" t="n">
        <x:f>Cronograma!H15</x:f>
        <x:v>10</x:v>
      </x:c>
      <x:c r="G14" s="79" t="str">
        <x:f>IF(AND(G$5&lt;=Cronograma!$G15,G$5+6&gt;=Cronograma!$F15),IF(Cronograma!$D15="Hito","◆","■"),"")</x:f>
      </x:c>
      <x:c r="H14" s="79" t="str">
        <x:f>IF(AND(H$5&lt;=Cronograma!$G15,H$5+6&gt;=Cronograma!$F15),IF(Cronograma!$D15="Hito","◆","■"),"")</x:f>
      </x:c>
      <x:c r="I14" s="79" t="str">
        <x:f>IF(AND(I$5&lt;=Cronograma!$G15,I$5+6&gt;=Cronograma!$F15),IF(Cronograma!$D15="Hito","◆","■"),"")</x:f>
      </x:c>
      <x:c r="J14" s="79" t="str">
        <x:f>IF(AND(J$5&lt;=Cronograma!$G15,J$5+6&gt;=Cronograma!$F15),IF(Cronograma!$D15="Hito","◆","■"),"")</x:f>
      </x:c>
      <x:c r="K14" s="79" t="str">
        <x:f>IF(AND(K$5&lt;=Cronograma!$G15,K$5+6&gt;=Cronograma!$F15),IF(Cronograma!$D15="Hito","◆","■"),"")</x:f>
        <x:v>■</x:v>
      </x:c>
      <x:c r="L14" s="79" t="str">
        <x:f>IF(AND(L$5&lt;=Cronograma!$G15,L$5+6&gt;=Cronograma!$F15),IF(Cronograma!$D15="Hito","◆","■"),"")</x:f>
        <x:v>■</x:v>
      </x:c>
      <x:c r="M14" s="79" t="str">
        <x:f>IF(AND(M$5&lt;=Cronograma!$G15,M$5+6&gt;=Cronograma!$F15),IF(Cronograma!$D15="Hito","◆","■"),"")</x:f>
      </x:c>
      <x:c r="N14" s="79" t="str">
        <x:f>IF(AND(N$5&lt;=Cronograma!$G15,N$5+6&gt;=Cronograma!$F15),IF(Cronograma!$D15="Hito","◆","■"),"")</x:f>
      </x:c>
      <x:c r="O14" s="79" t="str">
        <x:f>IF(AND(O$5&lt;=Cronograma!$G15,O$5+6&gt;=Cronograma!$F15),IF(Cronograma!$D15="Hito","◆","■"),"")</x:f>
      </x:c>
      <x:c r="P14" s="79" t="str">
        <x:f>IF(AND(P$5&lt;=Cronograma!$G15,P$5+6&gt;=Cronograma!$F15),IF(Cronograma!$D15="Hito","◆","■"),"")</x:f>
      </x:c>
      <x:c r="Q14" s="79" t="str">
        <x:f>IF(AND(Q$5&lt;=Cronograma!$G15,Q$5+6&gt;=Cronograma!$F15),IF(Cronograma!$D15="Hito","◆","■"),"")</x:f>
      </x:c>
      <x:c r="R14" s="79" t="str">
        <x:f>IF(AND(R$5&lt;=Cronograma!$G15,R$5+6&gt;=Cronograma!$F15),IF(Cronograma!$D15="Hito","◆","■"),"")</x:f>
      </x:c>
      <x:c r="S14" s="79" t="str">
        <x:f>IF(AND(S$5&lt;=Cronograma!$G15,S$5+6&gt;=Cronograma!$F15),IF(Cronograma!$D15="Hito","◆","■"),"")</x:f>
      </x:c>
      <x:c r="T14" s="79" t="str">
        <x:f>IF(AND(T$5&lt;=Cronograma!$G15,T$5+6&gt;=Cronograma!$F15),IF(Cronograma!$D15="Hito","◆","■"),"")</x:f>
      </x:c>
      <x:c r="U14" s="79" t="str">
        <x:f>IF(AND(U$5&lt;=Cronograma!$G15,U$5+6&gt;=Cronograma!$F15),IF(Cronograma!$D15="Hito","◆","■"),"")</x:f>
      </x:c>
      <x:c r="V14" s="79" t="str">
        <x:f>IF(AND(V$5&lt;=Cronograma!$G15,V$5+6&gt;=Cronograma!$F15),IF(Cronograma!$D15="Hito","◆","■"),"")</x:f>
      </x:c>
      <x:c r="W14" s="79" t="str">
        <x:f>IF(AND(W$5&lt;=Cronograma!$G15,W$5+6&gt;=Cronograma!$F15),IF(Cronograma!$D15="Hito","◆","■"),"")</x:f>
      </x:c>
      <x:c r="X14" s="79" t="str">
        <x:f>IF(AND(X$5&lt;=Cronograma!$G15,X$5+6&gt;=Cronograma!$F15),IF(Cronograma!$D15="Hito","◆","■"),"")</x:f>
      </x:c>
      <x:c r="Y14" s="79" t="str">
        <x:f>IF(AND(Y$5&lt;=Cronograma!$G15,Y$5+6&gt;=Cronograma!$F15),IF(Cronograma!$D15="Hito","◆","■"),"")</x:f>
      </x:c>
      <x:c r="Z14" s="79" t="str">
        <x:f>IF(AND(Z$5&lt;=Cronograma!$G15,Z$5+6&gt;=Cronograma!$F15),IF(Cronograma!$D15="Hito","◆","■"),"")</x:f>
      </x:c>
      <x:c r="AA14" s="79" t="str">
        <x:f>IF(AND(AA$5&lt;=Cronograma!$G15,AA$5+6&gt;=Cronograma!$F15),IF(Cronograma!$D15="Hito","◆","■"),"")</x:f>
      </x:c>
      <x:c r="AB14" s="79" t="str">
        <x:f>IF(AND(AB$5&lt;=Cronograma!$G15,AB$5+6&gt;=Cronograma!$F15),IF(Cronograma!$D15="Hito","◆","■"),"")</x:f>
      </x:c>
      <x:c r="AC14" s="79" t="str">
        <x:f>IF(AND(AC$5&lt;=Cronograma!$G15,AC$5+6&gt;=Cronograma!$F15),IF(Cronograma!$D15="Hito","◆","■"),"")</x:f>
      </x:c>
      <x:c r="AD14" s="79" t="str">
        <x:f>IF(AND(AD$5&lt;=Cronograma!$G15,AD$5+6&gt;=Cronograma!$F15),IF(Cronograma!$D15="Hito","◆","■"),"")</x:f>
      </x:c>
      <x:c r="AE14" s="79" t="str">
        <x:f>IF(AND(AE$5&lt;=Cronograma!$G15,AE$5+6&gt;=Cronograma!$F15),IF(Cronograma!$D15="Hito","◆","■"),"")</x:f>
      </x:c>
    </x:row>
    <x:row r="15" ht="25" customHeight="1">
      <x:c r="A15" s="76" t="str">
        <x:f>Cronograma!A16</x:f>
        <x:v>PA-04</x:v>
      </x:c>
      <x:c r="B15" s="76" t="str">
        <x:f>Cronograma!B16</x:f>
        <x:v>Preparación de ambiente de trabajo</x:v>
      </x:c>
      <x:c r="C15" s="76" t="str">
        <x:f>Cronograma!C16</x:f>
        <x:v>Construcción de repositorio del proyecto en Github</x:v>
      </x:c>
      <x:c r="D15" s="77" t="n">
        <x:f>Cronograma!F16</x:f>
        <x:v>46300</x:v>
      </x:c>
      <x:c r="E15" s="77" t="n">
        <x:f>Cronograma!G16</x:f>
        <x:v>46311</x:v>
      </x:c>
      <x:c r="F15" s="78" t="n">
        <x:f>Cronograma!H16</x:f>
        <x:v>12</x:v>
      </x:c>
      <x:c r="G15" s="79" t="str">
        <x:f>IF(AND(G$5&lt;=Cronograma!$G16,G$5+6&gt;=Cronograma!$F16),IF(Cronograma!$D16="Hito","◆","■"),"")</x:f>
      </x:c>
      <x:c r="H15" s="79" t="str">
        <x:f>IF(AND(H$5&lt;=Cronograma!$G16,H$5+6&gt;=Cronograma!$F16),IF(Cronograma!$D16="Hito","◆","■"),"")</x:f>
      </x:c>
      <x:c r="I15" s="79" t="str">
        <x:f>IF(AND(I$5&lt;=Cronograma!$G16,I$5+6&gt;=Cronograma!$F16),IF(Cronograma!$D16="Hito","◆","■"),"")</x:f>
      </x:c>
      <x:c r="J15" s="79" t="str">
        <x:f>IF(AND(J$5&lt;=Cronograma!$G16,J$5+6&gt;=Cronograma!$F16),IF(Cronograma!$D16="Hito","◆","■"),"")</x:f>
      </x:c>
      <x:c r="K15" s="79" t="str">
        <x:f>IF(AND(K$5&lt;=Cronograma!$G16,K$5+6&gt;=Cronograma!$F16),IF(Cronograma!$D16="Hito","◆","■"),"")</x:f>
        <x:v>■</x:v>
      </x:c>
      <x:c r="L15" s="79" t="str">
        <x:f>IF(AND(L$5&lt;=Cronograma!$G16,L$5+6&gt;=Cronograma!$F16),IF(Cronograma!$D16="Hito","◆","■"),"")</x:f>
        <x:v>■</x:v>
      </x:c>
      <x:c r="M15" s="79" t="str">
        <x:f>IF(AND(M$5&lt;=Cronograma!$G16,M$5+6&gt;=Cronograma!$F16),IF(Cronograma!$D16="Hito","◆","■"),"")</x:f>
      </x:c>
      <x:c r="N15" s="79" t="str">
        <x:f>IF(AND(N$5&lt;=Cronograma!$G16,N$5+6&gt;=Cronograma!$F16),IF(Cronograma!$D16="Hito","◆","■"),"")</x:f>
      </x:c>
      <x:c r="O15" s="79" t="str">
        <x:f>IF(AND(O$5&lt;=Cronograma!$G16,O$5+6&gt;=Cronograma!$F16),IF(Cronograma!$D16="Hito","◆","■"),"")</x:f>
      </x:c>
      <x:c r="P15" s="79" t="str">
        <x:f>IF(AND(P$5&lt;=Cronograma!$G16,P$5+6&gt;=Cronograma!$F16),IF(Cronograma!$D16="Hito","◆","■"),"")</x:f>
      </x:c>
      <x:c r="Q15" s="79" t="str">
        <x:f>IF(AND(Q$5&lt;=Cronograma!$G16,Q$5+6&gt;=Cronograma!$F16),IF(Cronograma!$D16="Hito","◆","■"),"")</x:f>
      </x:c>
      <x:c r="R15" s="79" t="str">
        <x:f>IF(AND(R$5&lt;=Cronograma!$G16,R$5+6&gt;=Cronograma!$F16),IF(Cronograma!$D16="Hito","◆","■"),"")</x:f>
      </x:c>
      <x:c r="S15" s="79" t="str">
        <x:f>IF(AND(S$5&lt;=Cronograma!$G16,S$5+6&gt;=Cronograma!$F16),IF(Cronograma!$D16="Hito","◆","■"),"")</x:f>
      </x:c>
      <x:c r="T15" s="79" t="str">
        <x:f>IF(AND(T$5&lt;=Cronograma!$G16,T$5+6&gt;=Cronograma!$F16),IF(Cronograma!$D16="Hito","◆","■"),"")</x:f>
      </x:c>
      <x:c r="U15" s="79" t="str">
        <x:f>IF(AND(U$5&lt;=Cronograma!$G16,U$5+6&gt;=Cronograma!$F16),IF(Cronograma!$D16="Hito","◆","■"),"")</x:f>
      </x:c>
      <x:c r="V15" s="79" t="str">
        <x:f>IF(AND(V$5&lt;=Cronograma!$G16,V$5+6&gt;=Cronograma!$F16),IF(Cronograma!$D16="Hito","◆","■"),"")</x:f>
      </x:c>
      <x:c r="W15" s="79" t="str">
        <x:f>IF(AND(W$5&lt;=Cronograma!$G16,W$5+6&gt;=Cronograma!$F16),IF(Cronograma!$D16="Hito","◆","■"),"")</x:f>
      </x:c>
      <x:c r="X15" s="79" t="str">
        <x:f>IF(AND(X$5&lt;=Cronograma!$G16,X$5+6&gt;=Cronograma!$F16),IF(Cronograma!$D16="Hito","◆","■"),"")</x:f>
      </x:c>
      <x:c r="Y15" s="79" t="str">
        <x:f>IF(AND(Y$5&lt;=Cronograma!$G16,Y$5+6&gt;=Cronograma!$F16),IF(Cronograma!$D16="Hito","◆","■"),"")</x:f>
      </x:c>
      <x:c r="Z15" s="79" t="str">
        <x:f>IF(AND(Z$5&lt;=Cronograma!$G16,Z$5+6&gt;=Cronograma!$F16),IF(Cronograma!$D16="Hito","◆","■"),"")</x:f>
      </x:c>
      <x:c r="AA15" s="79" t="str">
        <x:f>IF(AND(AA$5&lt;=Cronograma!$G16,AA$5+6&gt;=Cronograma!$F16),IF(Cronograma!$D16="Hito","◆","■"),"")</x:f>
      </x:c>
      <x:c r="AB15" s="79" t="str">
        <x:f>IF(AND(AB$5&lt;=Cronograma!$G16,AB$5+6&gt;=Cronograma!$F16),IF(Cronograma!$D16="Hito","◆","■"),"")</x:f>
      </x:c>
      <x:c r="AC15" s="79" t="str">
        <x:f>IF(AND(AC$5&lt;=Cronograma!$G16,AC$5+6&gt;=Cronograma!$F16),IF(Cronograma!$D16="Hito","◆","■"),"")</x:f>
      </x:c>
      <x:c r="AD15" s="79" t="str">
        <x:f>IF(AND(AD$5&lt;=Cronograma!$G16,AD$5+6&gt;=Cronograma!$F16),IF(Cronograma!$D16="Hito","◆","■"),"")</x:f>
      </x:c>
      <x:c r="AE15" s="79" t="str">
        <x:f>IF(AND(AE$5&lt;=Cronograma!$G16,AE$5+6&gt;=Cronograma!$F16),IF(Cronograma!$D16="Hito","◆","■"),"")</x:f>
      </x:c>
    </x:row>
    <x:row r="16" ht="25" customHeight="1">
      <x:c r="A16" s="80" t="str">
        <x:f>Cronograma!A17</x:f>
        <x:v>PA-H2</x:v>
      </x:c>
      <x:c r="B16" s="80" t="str">
        <x:f>Cronograma!B17</x:f>
        <x:v>Preparación de ambiente de trabajo</x:v>
      </x:c>
      <x:c r="C16" s="80" t="str">
        <x:f>Cronograma!C17</x:f>
        <x:v>Hito: ambiente de trabajo operativo</x:v>
      </x:c>
      <x:c r="D16" s="81" t="n">
        <x:f>Cronograma!F17</x:f>
        <x:v>46311</x:v>
      </x:c>
      <x:c r="E16" s="81" t="n">
        <x:f>Cronograma!G17</x:f>
        <x:v>46311</x:v>
      </x:c>
      <x:c r="F16" s="82" t="n">
        <x:f>Cronograma!H17</x:f>
        <x:v>1</x:v>
      </x:c>
      <x:c r="G16" s="83" t="str">
        <x:f>IF(AND(G$5&lt;=Cronograma!$G17,G$5+6&gt;=Cronograma!$F17),IF(Cronograma!$D17="Hito","◆","■"),"")</x:f>
      </x:c>
      <x:c r="H16" s="83" t="str">
        <x:f>IF(AND(H$5&lt;=Cronograma!$G17,H$5+6&gt;=Cronograma!$F17),IF(Cronograma!$D17="Hito","◆","■"),"")</x:f>
      </x:c>
      <x:c r="I16" s="83" t="str">
        <x:f>IF(AND(I$5&lt;=Cronograma!$G17,I$5+6&gt;=Cronograma!$F17),IF(Cronograma!$D17="Hito","◆","■"),"")</x:f>
      </x:c>
      <x:c r="J16" s="83" t="str">
        <x:f>IF(AND(J$5&lt;=Cronograma!$G17,J$5+6&gt;=Cronograma!$F17),IF(Cronograma!$D17="Hito","◆","■"),"")</x:f>
      </x:c>
      <x:c r="K16" s="83" t="str">
        <x:f>IF(AND(K$5&lt;=Cronograma!$G17,K$5+6&gt;=Cronograma!$F17),IF(Cronograma!$D17="Hito","◆","■"),"")</x:f>
      </x:c>
      <x:c r="L16" s="83" t="str">
        <x:f>IF(AND(L$5&lt;=Cronograma!$G17,L$5+6&gt;=Cronograma!$F17),IF(Cronograma!$D17="Hito","◆","■"),"")</x:f>
        <x:v>◆</x:v>
      </x:c>
      <x:c r="M16" s="83" t="str">
        <x:f>IF(AND(M$5&lt;=Cronograma!$G17,M$5+6&gt;=Cronograma!$F17),IF(Cronograma!$D17="Hito","◆","■"),"")</x:f>
      </x:c>
      <x:c r="N16" s="83" t="str">
        <x:f>IF(AND(N$5&lt;=Cronograma!$G17,N$5+6&gt;=Cronograma!$F17),IF(Cronograma!$D17="Hito","◆","■"),"")</x:f>
      </x:c>
      <x:c r="O16" s="83" t="str">
        <x:f>IF(AND(O$5&lt;=Cronograma!$G17,O$5+6&gt;=Cronograma!$F17),IF(Cronograma!$D17="Hito","◆","■"),"")</x:f>
      </x:c>
      <x:c r="P16" s="83" t="str">
        <x:f>IF(AND(P$5&lt;=Cronograma!$G17,P$5+6&gt;=Cronograma!$F17),IF(Cronograma!$D17="Hito","◆","■"),"")</x:f>
      </x:c>
      <x:c r="Q16" s="83" t="str">
        <x:f>IF(AND(Q$5&lt;=Cronograma!$G17,Q$5+6&gt;=Cronograma!$F17),IF(Cronograma!$D17="Hito","◆","■"),"")</x:f>
      </x:c>
      <x:c r="R16" s="83" t="str">
        <x:f>IF(AND(R$5&lt;=Cronograma!$G17,R$5+6&gt;=Cronograma!$F17),IF(Cronograma!$D17="Hito","◆","■"),"")</x:f>
      </x:c>
      <x:c r="S16" s="83" t="str">
        <x:f>IF(AND(S$5&lt;=Cronograma!$G17,S$5+6&gt;=Cronograma!$F17),IF(Cronograma!$D17="Hito","◆","■"),"")</x:f>
      </x:c>
      <x:c r="T16" s="83" t="str">
        <x:f>IF(AND(T$5&lt;=Cronograma!$G17,T$5+6&gt;=Cronograma!$F17),IF(Cronograma!$D17="Hito","◆","■"),"")</x:f>
      </x:c>
      <x:c r="U16" s="83" t="str">
        <x:f>IF(AND(U$5&lt;=Cronograma!$G17,U$5+6&gt;=Cronograma!$F17),IF(Cronograma!$D17="Hito","◆","■"),"")</x:f>
      </x:c>
      <x:c r="V16" s="83" t="str">
        <x:f>IF(AND(V$5&lt;=Cronograma!$G17,V$5+6&gt;=Cronograma!$F17),IF(Cronograma!$D17="Hito","◆","■"),"")</x:f>
      </x:c>
      <x:c r="W16" s="83" t="str">
        <x:f>IF(AND(W$5&lt;=Cronograma!$G17,W$5+6&gt;=Cronograma!$F17),IF(Cronograma!$D17="Hito","◆","■"),"")</x:f>
      </x:c>
      <x:c r="X16" s="83" t="str">
        <x:f>IF(AND(X$5&lt;=Cronograma!$G17,X$5+6&gt;=Cronograma!$F17),IF(Cronograma!$D17="Hito","◆","■"),"")</x:f>
      </x:c>
      <x:c r="Y16" s="83" t="str">
        <x:f>IF(AND(Y$5&lt;=Cronograma!$G17,Y$5+6&gt;=Cronograma!$F17),IF(Cronograma!$D17="Hito","◆","■"),"")</x:f>
      </x:c>
      <x:c r="Z16" s="83" t="str">
        <x:f>IF(AND(Z$5&lt;=Cronograma!$G17,Z$5+6&gt;=Cronograma!$F17),IF(Cronograma!$D17="Hito","◆","■"),"")</x:f>
      </x:c>
      <x:c r="AA16" s="83" t="str">
        <x:f>IF(AND(AA$5&lt;=Cronograma!$G17,AA$5+6&gt;=Cronograma!$F17),IF(Cronograma!$D17="Hito","◆","■"),"")</x:f>
      </x:c>
      <x:c r="AB16" s="83" t="str">
        <x:f>IF(AND(AB$5&lt;=Cronograma!$G17,AB$5+6&gt;=Cronograma!$F17),IF(Cronograma!$D17="Hito","◆","■"),"")</x:f>
      </x:c>
      <x:c r="AC16" s="83" t="str">
        <x:f>IF(AND(AC$5&lt;=Cronograma!$G17,AC$5+6&gt;=Cronograma!$F17),IF(Cronograma!$D17="Hito","◆","■"),"")</x:f>
      </x:c>
      <x:c r="AD16" s="83" t="str">
        <x:f>IF(AND(AD$5&lt;=Cronograma!$G17,AD$5+6&gt;=Cronograma!$F17),IF(Cronograma!$D17="Hito","◆","■"),"")</x:f>
      </x:c>
      <x:c r="AE16" s="83" t="str">
        <x:f>IF(AND(AE$5&lt;=Cronograma!$G17,AE$5+6&gt;=Cronograma!$F17),IF(Cronograma!$D17="Hito","◆","■"),"")</x:f>
      </x:c>
    </x:row>
    <x:row r="17" ht="25" customHeight="1">
      <x:c r="A17" s="76" t="str">
        <x:f>Cronograma!A18</x:f>
        <x:v>CO-01</x:v>
      </x:c>
      <x:c r="B17" s="76" t="str">
        <x:f>Cronograma!B18</x:f>
        <x:v>Construcción</x:v>
      </x:c>
      <x:c r="C17" s="76" t="str">
        <x:f>Cronograma!C18</x:f>
        <x:v>Proyecto</x:v>
      </x:c>
      <x:c r="D17" s="77" t="n">
        <x:f>Cronograma!F18</x:f>
        <x:v>46314</x:v>
      </x:c>
      <x:c r="E17" s="77" t="n">
        <x:f>Cronograma!G18</x:f>
        <x:v>46325</x:v>
      </x:c>
      <x:c r="F17" s="78" t="n">
        <x:f>Cronograma!H18</x:f>
        <x:v>12</x:v>
      </x:c>
      <x:c r="G17" s="79" t="str">
        <x:f>IF(AND(G$5&lt;=Cronograma!$G18,G$5+6&gt;=Cronograma!$F18),IF(Cronograma!$D18="Hito","◆","■"),"")</x:f>
      </x:c>
      <x:c r="H17" s="79" t="str">
        <x:f>IF(AND(H$5&lt;=Cronograma!$G18,H$5+6&gt;=Cronograma!$F18),IF(Cronograma!$D18="Hito","◆","■"),"")</x:f>
      </x:c>
      <x:c r="I17" s="79" t="str">
        <x:f>IF(AND(I$5&lt;=Cronograma!$G18,I$5+6&gt;=Cronograma!$F18),IF(Cronograma!$D18="Hito","◆","■"),"")</x:f>
      </x:c>
      <x:c r="J17" s="79" t="str">
        <x:f>IF(AND(J$5&lt;=Cronograma!$G18,J$5+6&gt;=Cronograma!$F18),IF(Cronograma!$D18="Hito","◆","■"),"")</x:f>
      </x:c>
      <x:c r="K17" s="79" t="str">
        <x:f>IF(AND(K$5&lt;=Cronograma!$G18,K$5+6&gt;=Cronograma!$F18),IF(Cronograma!$D18="Hito","◆","■"),"")</x:f>
      </x:c>
      <x:c r="L17" s="79" t="str">
        <x:f>IF(AND(L$5&lt;=Cronograma!$G18,L$5+6&gt;=Cronograma!$F18),IF(Cronograma!$D18="Hito","◆","■"),"")</x:f>
      </x:c>
      <x:c r="M17" s="79" t="str">
        <x:f>IF(AND(M$5&lt;=Cronograma!$G18,M$5+6&gt;=Cronograma!$F18),IF(Cronograma!$D18="Hito","◆","■"),"")</x:f>
        <x:v>■</x:v>
      </x:c>
      <x:c r="N17" s="79" t="str">
        <x:f>IF(AND(N$5&lt;=Cronograma!$G18,N$5+6&gt;=Cronograma!$F18),IF(Cronograma!$D18="Hito","◆","■"),"")</x:f>
        <x:v>■</x:v>
      </x:c>
      <x:c r="O17" s="79" t="str">
        <x:f>IF(AND(O$5&lt;=Cronograma!$G18,O$5+6&gt;=Cronograma!$F18),IF(Cronograma!$D18="Hito","◆","■"),"")</x:f>
      </x:c>
      <x:c r="P17" s="79" t="str">
        <x:f>IF(AND(P$5&lt;=Cronograma!$G18,P$5+6&gt;=Cronograma!$F18),IF(Cronograma!$D18="Hito","◆","■"),"")</x:f>
      </x:c>
      <x:c r="Q17" s="79" t="str">
        <x:f>IF(AND(Q$5&lt;=Cronograma!$G18,Q$5+6&gt;=Cronograma!$F18),IF(Cronograma!$D18="Hito","◆","■"),"")</x:f>
      </x:c>
      <x:c r="R17" s="79" t="str">
        <x:f>IF(AND(R$5&lt;=Cronograma!$G18,R$5+6&gt;=Cronograma!$F18),IF(Cronograma!$D18="Hito","◆","■"),"")</x:f>
      </x:c>
      <x:c r="S17" s="79" t="str">
        <x:f>IF(AND(S$5&lt;=Cronograma!$G18,S$5+6&gt;=Cronograma!$F18),IF(Cronograma!$D18="Hito","◆","■"),"")</x:f>
      </x:c>
      <x:c r="T17" s="79" t="str">
        <x:f>IF(AND(T$5&lt;=Cronograma!$G18,T$5+6&gt;=Cronograma!$F18),IF(Cronograma!$D18="Hito","◆","■"),"")</x:f>
      </x:c>
      <x:c r="U17" s="79" t="str">
        <x:f>IF(AND(U$5&lt;=Cronograma!$G18,U$5+6&gt;=Cronograma!$F18),IF(Cronograma!$D18="Hito","◆","■"),"")</x:f>
      </x:c>
      <x:c r="V17" s="79" t="str">
        <x:f>IF(AND(V$5&lt;=Cronograma!$G18,V$5+6&gt;=Cronograma!$F18),IF(Cronograma!$D18="Hito","◆","■"),"")</x:f>
      </x:c>
      <x:c r="W17" s="79" t="str">
        <x:f>IF(AND(W$5&lt;=Cronograma!$G18,W$5+6&gt;=Cronograma!$F18),IF(Cronograma!$D18="Hito","◆","■"),"")</x:f>
      </x:c>
      <x:c r="X17" s="79" t="str">
        <x:f>IF(AND(X$5&lt;=Cronograma!$G18,X$5+6&gt;=Cronograma!$F18),IF(Cronograma!$D18="Hito","◆","■"),"")</x:f>
      </x:c>
      <x:c r="Y17" s="79" t="str">
        <x:f>IF(AND(Y$5&lt;=Cronograma!$G18,Y$5+6&gt;=Cronograma!$F18),IF(Cronograma!$D18="Hito","◆","■"),"")</x:f>
      </x:c>
      <x:c r="Z17" s="79" t="str">
        <x:f>IF(AND(Z$5&lt;=Cronograma!$G18,Z$5+6&gt;=Cronograma!$F18),IF(Cronograma!$D18="Hito","◆","■"),"")</x:f>
      </x:c>
      <x:c r="AA17" s="79" t="str">
        <x:f>IF(AND(AA$5&lt;=Cronograma!$G18,AA$5+6&gt;=Cronograma!$F18),IF(Cronograma!$D18="Hito","◆","■"),"")</x:f>
      </x:c>
      <x:c r="AB17" s="79" t="str">
        <x:f>IF(AND(AB$5&lt;=Cronograma!$G18,AB$5+6&gt;=Cronograma!$F18),IF(Cronograma!$D18="Hito","◆","■"),"")</x:f>
      </x:c>
      <x:c r="AC17" s="79" t="str">
        <x:f>IF(AND(AC$5&lt;=Cronograma!$G18,AC$5+6&gt;=Cronograma!$F18),IF(Cronograma!$D18="Hito","◆","■"),"")</x:f>
      </x:c>
      <x:c r="AD17" s="79" t="str">
        <x:f>IF(AND(AD$5&lt;=Cronograma!$G18,AD$5+6&gt;=Cronograma!$F18),IF(Cronograma!$D18="Hito","◆","■"),"")</x:f>
      </x:c>
      <x:c r="AE17" s="79" t="str">
        <x:f>IF(AND(AE$5&lt;=Cronograma!$G18,AE$5+6&gt;=Cronograma!$F18),IF(Cronograma!$D18="Hito","◆","■"),"")</x:f>
      </x:c>
    </x:row>
    <x:row r="18" ht="25" customHeight="1">
      <x:c r="A18" s="76" t="str">
        <x:f>Cronograma!A19</x:f>
        <x:v>CO-10</x:v>
      </x:c>
      <x:c r="B18" s="76" t="str">
        <x:f>Cronograma!B19</x:f>
        <x:v>Construcción</x:v>
      </x:c>
      <x:c r="C18" s="76" t="str">
        <x:f>Cronograma!C19</x:f>
        <x:v>Inicio de sesión y recuperación de acceso</x:v>
      </x:c>
      <x:c r="D18" s="77" t="n">
        <x:f>Cronograma!F19</x:f>
        <x:v>46314</x:v>
      </x:c>
      <x:c r="E18" s="77" t="n">
        <x:f>Cronograma!G19</x:f>
        <x:v>46332</x:v>
      </x:c>
      <x:c r="F18" s="78" t="n">
        <x:f>Cronograma!H19</x:f>
        <x:v>19</x:v>
      </x:c>
      <x:c r="G18" s="79" t="str">
        <x:f>IF(AND(G$5&lt;=Cronograma!$G19,G$5+6&gt;=Cronograma!$F19),IF(Cronograma!$D19="Hito","◆","■"),"")</x:f>
      </x:c>
      <x:c r="H18" s="79" t="str">
        <x:f>IF(AND(H$5&lt;=Cronograma!$G19,H$5+6&gt;=Cronograma!$F19),IF(Cronograma!$D19="Hito","◆","■"),"")</x:f>
      </x:c>
      <x:c r="I18" s="79" t="str">
        <x:f>IF(AND(I$5&lt;=Cronograma!$G19,I$5+6&gt;=Cronograma!$F19),IF(Cronograma!$D19="Hito","◆","■"),"")</x:f>
      </x:c>
      <x:c r="J18" s="79" t="str">
        <x:f>IF(AND(J$5&lt;=Cronograma!$G19,J$5+6&gt;=Cronograma!$F19),IF(Cronograma!$D19="Hito","◆","■"),"")</x:f>
      </x:c>
      <x:c r="K18" s="79" t="str">
        <x:f>IF(AND(K$5&lt;=Cronograma!$G19,K$5+6&gt;=Cronograma!$F19),IF(Cronograma!$D19="Hito","◆","■"),"")</x:f>
      </x:c>
      <x:c r="L18" s="79" t="str">
        <x:f>IF(AND(L$5&lt;=Cronograma!$G19,L$5+6&gt;=Cronograma!$F19),IF(Cronograma!$D19="Hito","◆","■"),"")</x:f>
      </x:c>
      <x:c r="M18" s="79" t="str">
        <x:f>IF(AND(M$5&lt;=Cronograma!$G19,M$5+6&gt;=Cronograma!$F19),IF(Cronograma!$D19="Hito","◆","■"),"")</x:f>
        <x:v>■</x:v>
      </x:c>
      <x:c r="N18" s="79" t="str">
        <x:f>IF(AND(N$5&lt;=Cronograma!$G19,N$5+6&gt;=Cronograma!$F19),IF(Cronograma!$D19="Hito","◆","■"),"")</x:f>
        <x:v>■</x:v>
      </x:c>
      <x:c r="O18" s="79" t="str">
        <x:f>IF(AND(O$5&lt;=Cronograma!$G19,O$5+6&gt;=Cronograma!$F19),IF(Cronograma!$D19="Hito","◆","■"),"")</x:f>
        <x:v>■</x:v>
      </x:c>
      <x:c r="P18" s="79" t="str">
        <x:f>IF(AND(P$5&lt;=Cronograma!$G19,P$5+6&gt;=Cronograma!$F19),IF(Cronograma!$D19="Hito","◆","■"),"")</x:f>
      </x:c>
      <x:c r="Q18" s="79" t="str">
        <x:f>IF(AND(Q$5&lt;=Cronograma!$G19,Q$5+6&gt;=Cronograma!$F19),IF(Cronograma!$D19="Hito","◆","■"),"")</x:f>
      </x:c>
      <x:c r="R18" s="79" t="str">
        <x:f>IF(AND(R$5&lt;=Cronograma!$G19,R$5+6&gt;=Cronograma!$F19),IF(Cronograma!$D19="Hito","◆","■"),"")</x:f>
      </x:c>
      <x:c r="S18" s="79" t="str">
        <x:f>IF(AND(S$5&lt;=Cronograma!$G19,S$5+6&gt;=Cronograma!$F19),IF(Cronograma!$D19="Hito","◆","■"),"")</x:f>
      </x:c>
      <x:c r="T18" s="79" t="str">
        <x:f>IF(AND(T$5&lt;=Cronograma!$G19,T$5+6&gt;=Cronograma!$F19),IF(Cronograma!$D19="Hito","◆","■"),"")</x:f>
      </x:c>
      <x:c r="U18" s="79" t="str">
        <x:f>IF(AND(U$5&lt;=Cronograma!$G19,U$5+6&gt;=Cronograma!$F19),IF(Cronograma!$D19="Hito","◆","■"),"")</x:f>
      </x:c>
      <x:c r="V18" s="79" t="str">
        <x:f>IF(AND(V$5&lt;=Cronograma!$G19,V$5+6&gt;=Cronograma!$F19),IF(Cronograma!$D19="Hito","◆","■"),"")</x:f>
      </x:c>
      <x:c r="W18" s="79" t="str">
        <x:f>IF(AND(W$5&lt;=Cronograma!$G19,W$5+6&gt;=Cronograma!$F19),IF(Cronograma!$D19="Hito","◆","■"),"")</x:f>
      </x:c>
      <x:c r="X18" s="79" t="str">
        <x:f>IF(AND(X$5&lt;=Cronograma!$G19,X$5+6&gt;=Cronograma!$F19),IF(Cronograma!$D19="Hito","◆","■"),"")</x:f>
      </x:c>
      <x:c r="Y18" s="79" t="str">
        <x:f>IF(AND(Y$5&lt;=Cronograma!$G19,Y$5+6&gt;=Cronograma!$F19),IF(Cronograma!$D19="Hito","◆","■"),"")</x:f>
      </x:c>
      <x:c r="Z18" s="79" t="str">
        <x:f>IF(AND(Z$5&lt;=Cronograma!$G19,Z$5+6&gt;=Cronograma!$F19),IF(Cronograma!$D19="Hito","◆","■"),"")</x:f>
      </x:c>
      <x:c r="AA18" s="79" t="str">
        <x:f>IF(AND(AA$5&lt;=Cronograma!$G19,AA$5+6&gt;=Cronograma!$F19),IF(Cronograma!$D19="Hito","◆","■"),"")</x:f>
      </x:c>
      <x:c r="AB18" s="79" t="str">
        <x:f>IF(AND(AB$5&lt;=Cronograma!$G19,AB$5+6&gt;=Cronograma!$F19),IF(Cronograma!$D19="Hito","◆","■"),"")</x:f>
      </x:c>
      <x:c r="AC18" s="79" t="str">
        <x:f>IF(AND(AC$5&lt;=Cronograma!$G19,AC$5+6&gt;=Cronograma!$F19),IF(Cronograma!$D19="Hito","◆","■"),"")</x:f>
      </x:c>
      <x:c r="AD18" s="79" t="str">
        <x:f>IF(AND(AD$5&lt;=Cronograma!$G19,AD$5+6&gt;=Cronograma!$F19),IF(Cronograma!$D19="Hito","◆","■"),"")</x:f>
      </x:c>
      <x:c r="AE18" s="79" t="str">
        <x:f>IF(AND(AE$5&lt;=Cronograma!$G19,AE$5+6&gt;=Cronograma!$F19),IF(Cronograma!$D19="Hito","◆","■"),"")</x:f>
      </x:c>
    </x:row>
    <x:row r="19" ht="25" customHeight="1">
      <x:c r="A19" s="76" t="str">
        <x:f>Cronograma!A20</x:f>
        <x:v>CO-11</x:v>
      </x:c>
      <x:c r="B19" s="76" t="str">
        <x:f>Cronograma!B20</x:f>
        <x:v>Construcción</x:v>
      </x:c>
      <x:c r="C19" s="76" t="str">
        <x:f>Cronograma!C20</x:f>
        <x:v>Usuarios, perfiles y permisos por proyecto</x:v>
      </x:c>
      <x:c r="D19" s="77" t="n">
        <x:f>Cronograma!F20</x:f>
        <x:v>46321</x:v>
      </x:c>
      <x:c r="E19" s="77" t="n">
        <x:f>Cronograma!G20</x:f>
        <x:v>46346</x:v>
      </x:c>
      <x:c r="F19" s="78" t="n">
        <x:f>Cronograma!H20</x:f>
        <x:v>26</x:v>
      </x:c>
      <x:c r="G19" s="79" t="str">
        <x:f>IF(AND(G$5&lt;=Cronograma!$G20,G$5+6&gt;=Cronograma!$F20),IF(Cronograma!$D20="Hito","◆","■"),"")</x:f>
      </x:c>
      <x:c r="H19" s="79" t="str">
        <x:f>IF(AND(H$5&lt;=Cronograma!$G20,H$5+6&gt;=Cronograma!$F20),IF(Cronograma!$D20="Hito","◆","■"),"")</x:f>
      </x:c>
      <x:c r="I19" s="79" t="str">
        <x:f>IF(AND(I$5&lt;=Cronograma!$G20,I$5+6&gt;=Cronograma!$F20),IF(Cronograma!$D20="Hito","◆","■"),"")</x:f>
      </x:c>
      <x:c r="J19" s="79" t="str">
        <x:f>IF(AND(J$5&lt;=Cronograma!$G20,J$5+6&gt;=Cronograma!$F20),IF(Cronograma!$D20="Hito","◆","■"),"")</x:f>
      </x:c>
      <x:c r="K19" s="79" t="str">
        <x:f>IF(AND(K$5&lt;=Cronograma!$G20,K$5+6&gt;=Cronograma!$F20),IF(Cronograma!$D20="Hito","◆","■"),"")</x:f>
      </x:c>
      <x:c r="L19" s="79" t="str">
        <x:f>IF(AND(L$5&lt;=Cronograma!$G20,L$5+6&gt;=Cronograma!$F20),IF(Cronograma!$D20="Hito","◆","■"),"")</x:f>
      </x:c>
      <x:c r="M19" s="79" t="str">
        <x:f>IF(AND(M$5&lt;=Cronograma!$G20,M$5+6&gt;=Cronograma!$F20),IF(Cronograma!$D20="Hito","◆","■"),"")</x:f>
      </x:c>
      <x:c r="N19" s="79" t="str">
        <x:f>IF(AND(N$5&lt;=Cronograma!$G20,N$5+6&gt;=Cronograma!$F20),IF(Cronograma!$D20="Hito","◆","■"),"")</x:f>
        <x:v>■</x:v>
      </x:c>
      <x:c r="O19" s="79" t="str">
        <x:f>IF(AND(O$5&lt;=Cronograma!$G20,O$5+6&gt;=Cronograma!$F20),IF(Cronograma!$D20="Hito","◆","■"),"")</x:f>
        <x:v>■</x:v>
      </x:c>
      <x:c r="P19" s="79" t="str">
        <x:f>IF(AND(P$5&lt;=Cronograma!$G20,P$5+6&gt;=Cronograma!$F20),IF(Cronograma!$D20="Hito","◆","■"),"")</x:f>
        <x:v>■</x:v>
      </x:c>
      <x:c r="Q19" s="79" t="str">
        <x:f>IF(AND(Q$5&lt;=Cronograma!$G20,Q$5+6&gt;=Cronograma!$F20),IF(Cronograma!$D20="Hito","◆","■"),"")</x:f>
        <x:v>■</x:v>
      </x:c>
      <x:c r="R19" s="79" t="str">
        <x:f>IF(AND(R$5&lt;=Cronograma!$G20,R$5+6&gt;=Cronograma!$F20),IF(Cronograma!$D20="Hito","◆","■"),"")</x:f>
      </x:c>
      <x:c r="S19" s="79" t="str">
        <x:f>IF(AND(S$5&lt;=Cronograma!$G20,S$5+6&gt;=Cronograma!$F20),IF(Cronograma!$D20="Hito","◆","■"),"")</x:f>
      </x:c>
      <x:c r="T19" s="79" t="str">
        <x:f>IF(AND(T$5&lt;=Cronograma!$G20,T$5+6&gt;=Cronograma!$F20),IF(Cronograma!$D20="Hito","◆","■"),"")</x:f>
      </x:c>
      <x:c r="U19" s="79" t="str">
        <x:f>IF(AND(U$5&lt;=Cronograma!$G20,U$5+6&gt;=Cronograma!$F20),IF(Cronograma!$D20="Hito","◆","■"),"")</x:f>
      </x:c>
      <x:c r="V19" s="79" t="str">
        <x:f>IF(AND(V$5&lt;=Cronograma!$G20,V$5+6&gt;=Cronograma!$F20),IF(Cronograma!$D20="Hito","◆","■"),"")</x:f>
      </x:c>
      <x:c r="W19" s="79" t="str">
        <x:f>IF(AND(W$5&lt;=Cronograma!$G20,W$5+6&gt;=Cronograma!$F20),IF(Cronograma!$D20="Hito","◆","■"),"")</x:f>
      </x:c>
      <x:c r="X19" s="79" t="str">
        <x:f>IF(AND(X$5&lt;=Cronograma!$G20,X$5+6&gt;=Cronograma!$F20),IF(Cronograma!$D20="Hito","◆","■"),"")</x:f>
      </x:c>
      <x:c r="Y19" s="79" t="str">
        <x:f>IF(AND(Y$5&lt;=Cronograma!$G20,Y$5+6&gt;=Cronograma!$F20),IF(Cronograma!$D20="Hito","◆","■"),"")</x:f>
      </x:c>
      <x:c r="Z19" s="79" t="str">
        <x:f>IF(AND(Z$5&lt;=Cronograma!$G20,Z$5+6&gt;=Cronograma!$F20),IF(Cronograma!$D20="Hito","◆","■"),"")</x:f>
      </x:c>
      <x:c r="AA19" s="79" t="str">
        <x:f>IF(AND(AA$5&lt;=Cronograma!$G20,AA$5+6&gt;=Cronograma!$F20),IF(Cronograma!$D20="Hito","◆","■"),"")</x:f>
      </x:c>
      <x:c r="AB19" s="79" t="str">
        <x:f>IF(AND(AB$5&lt;=Cronograma!$G20,AB$5+6&gt;=Cronograma!$F20),IF(Cronograma!$D20="Hito","◆","■"),"")</x:f>
      </x:c>
      <x:c r="AC19" s="79" t="str">
        <x:f>IF(AND(AC$5&lt;=Cronograma!$G20,AC$5+6&gt;=Cronograma!$F20),IF(Cronograma!$D20="Hito","◆","■"),"")</x:f>
      </x:c>
      <x:c r="AD19" s="79" t="str">
        <x:f>IF(AND(AD$5&lt;=Cronograma!$G20,AD$5+6&gt;=Cronograma!$F20),IF(Cronograma!$D20="Hito","◆","■"),"")</x:f>
      </x:c>
      <x:c r="AE19" s="79" t="str">
        <x:f>IF(AND(AE$5&lt;=Cronograma!$G20,AE$5+6&gt;=Cronograma!$F20),IF(Cronograma!$D20="Hito","◆","■"),"")</x:f>
      </x:c>
    </x:row>
    <x:row r="20" ht="25" customHeight="1">
      <x:c r="A20" s="76" t="str">
        <x:f>Cronograma!A21</x:f>
        <x:v>CO-02</x:v>
      </x:c>
      <x:c r="B20" s="76" t="str">
        <x:f>Cronograma!B21</x:f>
        <x:v>Construcción</x:v>
      </x:c>
      <x:c r="C20" s="76" t="str">
        <x:f>Cronograma!C21</x:f>
        <x:v>Activos</x:v>
      </x:c>
      <x:c r="D20" s="77" t="n">
        <x:f>Cronograma!F21</x:f>
        <x:v>46321</x:v>
      </x:c>
      <x:c r="E20" s="77" t="n">
        <x:f>Cronograma!G21</x:f>
        <x:v>46339</x:v>
      </x:c>
      <x:c r="F20" s="78" t="n">
        <x:f>Cronograma!H21</x:f>
        <x:v>19</x:v>
      </x:c>
      <x:c r="G20" s="79" t="str">
        <x:f>IF(AND(G$5&lt;=Cronograma!$G21,G$5+6&gt;=Cronograma!$F21),IF(Cronograma!$D21="Hito","◆","■"),"")</x:f>
      </x:c>
      <x:c r="H20" s="79" t="str">
        <x:f>IF(AND(H$5&lt;=Cronograma!$G21,H$5+6&gt;=Cronograma!$F21),IF(Cronograma!$D21="Hito","◆","■"),"")</x:f>
      </x:c>
      <x:c r="I20" s="79" t="str">
        <x:f>IF(AND(I$5&lt;=Cronograma!$G21,I$5+6&gt;=Cronograma!$F21),IF(Cronograma!$D21="Hito","◆","■"),"")</x:f>
      </x:c>
      <x:c r="J20" s="79" t="str">
        <x:f>IF(AND(J$5&lt;=Cronograma!$G21,J$5+6&gt;=Cronograma!$F21),IF(Cronograma!$D21="Hito","◆","■"),"")</x:f>
      </x:c>
      <x:c r="K20" s="79" t="str">
        <x:f>IF(AND(K$5&lt;=Cronograma!$G21,K$5+6&gt;=Cronograma!$F21),IF(Cronograma!$D21="Hito","◆","■"),"")</x:f>
      </x:c>
      <x:c r="L20" s="79" t="str">
        <x:f>IF(AND(L$5&lt;=Cronograma!$G21,L$5+6&gt;=Cronograma!$F21),IF(Cronograma!$D21="Hito","◆","■"),"")</x:f>
      </x:c>
      <x:c r="M20" s="79" t="str">
        <x:f>IF(AND(M$5&lt;=Cronograma!$G21,M$5+6&gt;=Cronograma!$F21),IF(Cronograma!$D21="Hito","◆","■"),"")</x:f>
      </x:c>
      <x:c r="N20" s="79" t="str">
        <x:f>IF(AND(N$5&lt;=Cronograma!$G21,N$5+6&gt;=Cronograma!$F21),IF(Cronograma!$D21="Hito","◆","■"),"")</x:f>
        <x:v>■</x:v>
      </x:c>
      <x:c r="O20" s="79" t="str">
        <x:f>IF(AND(O$5&lt;=Cronograma!$G21,O$5+6&gt;=Cronograma!$F21),IF(Cronograma!$D21="Hito","◆","■"),"")</x:f>
        <x:v>■</x:v>
      </x:c>
      <x:c r="P20" s="79" t="str">
        <x:f>IF(AND(P$5&lt;=Cronograma!$G21,P$5+6&gt;=Cronograma!$F21),IF(Cronograma!$D21="Hito","◆","■"),"")</x:f>
        <x:v>■</x:v>
      </x:c>
      <x:c r="Q20" s="79" t="str">
        <x:f>IF(AND(Q$5&lt;=Cronograma!$G21,Q$5+6&gt;=Cronograma!$F21),IF(Cronograma!$D21="Hito","◆","■"),"")</x:f>
      </x:c>
      <x:c r="R20" s="79" t="str">
        <x:f>IF(AND(R$5&lt;=Cronograma!$G21,R$5+6&gt;=Cronograma!$F21),IF(Cronograma!$D21="Hito","◆","■"),"")</x:f>
      </x:c>
      <x:c r="S20" s="79" t="str">
        <x:f>IF(AND(S$5&lt;=Cronograma!$G21,S$5+6&gt;=Cronograma!$F21),IF(Cronograma!$D21="Hito","◆","■"),"")</x:f>
      </x:c>
      <x:c r="T20" s="79" t="str">
        <x:f>IF(AND(T$5&lt;=Cronograma!$G21,T$5+6&gt;=Cronograma!$F21),IF(Cronograma!$D21="Hito","◆","■"),"")</x:f>
      </x:c>
      <x:c r="U20" s="79" t="str">
        <x:f>IF(AND(U$5&lt;=Cronograma!$G21,U$5+6&gt;=Cronograma!$F21),IF(Cronograma!$D21="Hito","◆","■"),"")</x:f>
      </x:c>
      <x:c r="V20" s="79" t="str">
        <x:f>IF(AND(V$5&lt;=Cronograma!$G21,V$5+6&gt;=Cronograma!$F21),IF(Cronograma!$D21="Hito","◆","■"),"")</x:f>
      </x:c>
      <x:c r="W20" s="79" t="str">
        <x:f>IF(AND(W$5&lt;=Cronograma!$G21,W$5+6&gt;=Cronograma!$F21),IF(Cronograma!$D21="Hito","◆","■"),"")</x:f>
      </x:c>
      <x:c r="X20" s="79" t="str">
        <x:f>IF(AND(X$5&lt;=Cronograma!$G21,X$5+6&gt;=Cronograma!$F21),IF(Cronograma!$D21="Hito","◆","■"),"")</x:f>
      </x:c>
      <x:c r="Y20" s="79" t="str">
        <x:f>IF(AND(Y$5&lt;=Cronograma!$G21,Y$5+6&gt;=Cronograma!$F21),IF(Cronograma!$D21="Hito","◆","■"),"")</x:f>
      </x:c>
      <x:c r="Z20" s="79" t="str">
        <x:f>IF(AND(Z$5&lt;=Cronograma!$G21,Z$5+6&gt;=Cronograma!$F21),IF(Cronograma!$D21="Hito","◆","■"),"")</x:f>
      </x:c>
      <x:c r="AA20" s="79" t="str">
        <x:f>IF(AND(AA$5&lt;=Cronograma!$G21,AA$5+6&gt;=Cronograma!$F21),IF(Cronograma!$D21="Hito","◆","■"),"")</x:f>
      </x:c>
      <x:c r="AB20" s="79" t="str">
        <x:f>IF(AND(AB$5&lt;=Cronograma!$G21,AB$5+6&gt;=Cronograma!$F21),IF(Cronograma!$D21="Hito","◆","■"),"")</x:f>
      </x:c>
      <x:c r="AC20" s="79" t="str">
        <x:f>IF(AND(AC$5&lt;=Cronograma!$G21,AC$5+6&gt;=Cronograma!$F21),IF(Cronograma!$D21="Hito","◆","■"),"")</x:f>
      </x:c>
      <x:c r="AD20" s="79" t="str">
        <x:f>IF(AND(AD$5&lt;=Cronograma!$G21,AD$5+6&gt;=Cronograma!$F21),IF(Cronograma!$D21="Hito","◆","■"),"")</x:f>
      </x:c>
      <x:c r="AE20" s="79" t="str">
        <x:f>IF(AND(AE$5&lt;=Cronograma!$G21,AE$5+6&gt;=Cronograma!$F21),IF(Cronograma!$D21="Hito","◆","■"),"")</x:f>
      </x:c>
    </x:row>
    <x:row r="21" ht="25" customHeight="1">
      <x:c r="A21" s="76" t="str">
        <x:f>Cronograma!A22</x:f>
        <x:v>CO-03</x:v>
      </x:c>
      <x:c r="B21" s="76" t="str">
        <x:f>Cronograma!B22</x:f>
        <x:v>Construcción</x:v>
      </x:c>
      <x:c r="C21" s="76" t="str">
        <x:f>Cronograma!C22</x:f>
        <x:v>Etapas y Especialidades</x:v>
      </x:c>
      <x:c r="D21" s="77" t="n">
        <x:f>Cronograma!F22</x:f>
        <x:v>46335</x:v>
      </x:c>
      <x:c r="E21" s="77" t="n">
        <x:f>Cronograma!G22</x:f>
        <x:v>46353</x:v>
      </x:c>
      <x:c r="F21" s="78" t="n">
        <x:f>Cronograma!H22</x:f>
        <x:v>19</x:v>
      </x:c>
      <x:c r="G21" s="79" t="str">
        <x:f>IF(AND(G$5&lt;=Cronograma!$G22,G$5+6&gt;=Cronograma!$F22),IF(Cronograma!$D22="Hito","◆","■"),"")</x:f>
      </x:c>
      <x:c r="H21" s="79" t="str">
        <x:f>IF(AND(H$5&lt;=Cronograma!$G22,H$5+6&gt;=Cronograma!$F22),IF(Cronograma!$D22="Hito","◆","■"),"")</x:f>
      </x:c>
      <x:c r="I21" s="79" t="str">
        <x:f>IF(AND(I$5&lt;=Cronograma!$G22,I$5+6&gt;=Cronograma!$F22),IF(Cronograma!$D22="Hito","◆","■"),"")</x:f>
      </x:c>
      <x:c r="J21" s="79" t="str">
        <x:f>IF(AND(J$5&lt;=Cronograma!$G22,J$5+6&gt;=Cronograma!$F22),IF(Cronograma!$D22="Hito","◆","■"),"")</x:f>
      </x:c>
      <x:c r="K21" s="79" t="str">
        <x:f>IF(AND(K$5&lt;=Cronograma!$G22,K$5+6&gt;=Cronograma!$F22),IF(Cronograma!$D22="Hito","◆","■"),"")</x:f>
      </x:c>
      <x:c r="L21" s="79" t="str">
        <x:f>IF(AND(L$5&lt;=Cronograma!$G22,L$5+6&gt;=Cronograma!$F22),IF(Cronograma!$D22="Hito","◆","■"),"")</x:f>
      </x:c>
      <x:c r="M21" s="79" t="str">
        <x:f>IF(AND(M$5&lt;=Cronograma!$G22,M$5+6&gt;=Cronograma!$F22),IF(Cronograma!$D22="Hito","◆","■"),"")</x:f>
      </x:c>
      <x:c r="N21" s="79" t="str">
        <x:f>IF(AND(N$5&lt;=Cronograma!$G22,N$5+6&gt;=Cronograma!$F22),IF(Cronograma!$D22="Hito","◆","■"),"")</x:f>
      </x:c>
      <x:c r="O21" s="79" t="str">
        <x:f>IF(AND(O$5&lt;=Cronograma!$G22,O$5+6&gt;=Cronograma!$F22),IF(Cronograma!$D22="Hito","◆","■"),"")</x:f>
      </x:c>
      <x:c r="P21" s="79" t="str">
        <x:f>IF(AND(P$5&lt;=Cronograma!$G22,P$5+6&gt;=Cronograma!$F22),IF(Cronograma!$D22="Hito","◆","■"),"")</x:f>
        <x:v>■</x:v>
      </x:c>
      <x:c r="Q21" s="79" t="str">
        <x:f>IF(AND(Q$5&lt;=Cronograma!$G22,Q$5+6&gt;=Cronograma!$F22),IF(Cronograma!$D22="Hito","◆","■"),"")</x:f>
        <x:v>■</x:v>
      </x:c>
      <x:c r="R21" s="79" t="str">
        <x:f>IF(AND(R$5&lt;=Cronograma!$G22,R$5+6&gt;=Cronograma!$F22),IF(Cronograma!$D22="Hito","◆","■"),"")</x:f>
        <x:v>■</x:v>
      </x:c>
      <x:c r="S21" s="79" t="str">
        <x:f>IF(AND(S$5&lt;=Cronograma!$G22,S$5+6&gt;=Cronograma!$F22),IF(Cronograma!$D22="Hito","◆","■"),"")</x:f>
      </x:c>
      <x:c r="T21" s="79" t="str">
        <x:f>IF(AND(T$5&lt;=Cronograma!$G22,T$5+6&gt;=Cronograma!$F22),IF(Cronograma!$D22="Hito","◆","■"),"")</x:f>
      </x:c>
      <x:c r="U21" s="79" t="str">
        <x:f>IF(AND(U$5&lt;=Cronograma!$G22,U$5+6&gt;=Cronograma!$F22),IF(Cronograma!$D22="Hito","◆","■"),"")</x:f>
      </x:c>
      <x:c r="V21" s="79" t="str">
        <x:f>IF(AND(V$5&lt;=Cronograma!$G22,V$5+6&gt;=Cronograma!$F22),IF(Cronograma!$D22="Hito","◆","■"),"")</x:f>
      </x:c>
      <x:c r="W21" s="79" t="str">
        <x:f>IF(AND(W$5&lt;=Cronograma!$G22,W$5+6&gt;=Cronograma!$F22),IF(Cronograma!$D22="Hito","◆","■"),"")</x:f>
      </x:c>
      <x:c r="X21" s="79" t="str">
        <x:f>IF(AND(X$5&lt;=Cronograma!$G22,X$5+6&gt;=Cronograma!$F22),IF(Cronograma!$D22="Hito","◆","■"),"")</x:f>
      </x:c>
      <x:c r="Y21" s="79" t="str">
        <x:f>IF(AND(Y$5&lt;=Cronograma!$G22,Y$5+6&gt;=Cronograma!$F22),IF(Cronograma!$D22="Hito","◆","■"),"")</x:f>
      </x:c>
      <x:c r="Z21" s="79" t="str">
        <x:f>IF(AND(Z$5&lt;=Cronograma!$G22,Z$5+6&gt;=Cronograma!$F22),IF(Cronograma!$D22="Hito","◆","■"),"")</x:f>
      </x:c>
      <x:c r="AA21" s="79" t="str">
        <x:f>IF(AND(AA$5&lt;=Cronograma!$G22,AA$5+6&gt;=Cronograma!$F22),IF(Cronograma!$D22="Hito","◆","■"),"")</x:f>
      </x:c>
      <x:c r="AB21" s="79" t="str">
        <x:f>IF(AND(AB$5&lt;=Cronograma!$G22,AB$5+6&gt;=Cronograma!$F22),IF(Cronograma!$D22="Hito","◆","■"),"")</x:f>
      </x:c>
      <x:c r="AC21" s="79" t="str">
        <x:f>IF(AND(AC$5&lt;=Cronograma!$G22,AC$5+6&gt;=Cronograma!$F22),IF(Cronograma!$D22="Hito","◆","■"),"")</x:f>
      </x:c>
      <x:c r="AD21" s="79" t="str">
        <x:f>IF(AND(AD$5&lt;=Cronograma!$G22,AD$5+6&gt;=Cronograma!$F22),IF(Cronograma!$D22="Hito","◆","■"),"")</x:f>
      </x:c>
      <x:c r="AE21" s="79" t="str">
        <x:f>IF(AND(AE$5&lt;=Cronograma!$G22,AE$5+6&gt;=Cronograma!$F22),IF(Cronograma!$D22="Hito","◆","■"),"")</x:f>
      </x:c>
    </x:row>
    <x:row r="22" ht="25" customHeight="1">
      <x:c r="A22" s="76" t="str">
        <x:f>Cronograma!A23</x:f>
        <x:v>CO-04</x:v>
      </x:c>
      <x:c r="B22" s="76" t="str">
        <x:f>Cronograma!B23</x:f>
        <x:v>Construcción</x:v>
      </x:c>
      <x:c r="C22" s="76" t="str">
        <x:f>Cronograma!C23</x:f>
        <x:v>Puntos de Control y aplicabilidad</x:v>
      </x:c>
      <x:c r="D22" s="77" t="n">
        <x:f>Cronograma!F23</x:f>
        <x:v>46349</x:v>
      </x:c>
      <x:c r="E22" s="77" t="n">
        <x:f>Cronograma!G23</x:f>
        <x:v>46374</x:v>
      </x:c>
      <x:c r="F22" s="78" t="n">
        <x:f>Cronograma!H23</x:f>
        <x:v>26</x:v>
      </x:c>
      <x:c r="G22" s="79" t="str">
        <x:f>IF(AND(G$5&lt;=Cronograma!$G23,G$5+6&gt;=Cronograma!$F23),IF(Cronograma!$D23="Hito","◆","■"),"")</x:f>
      </x:c>
      <x:c r="H22" s="79" t="str">
        <x:f>IF(AND(H$5&lt;=Cronograma!$G23,H$5+6&gt;=Cronograma!$F23),IF(Cronograma!$D23="Hito","◆","■"),"")</x:f>
      </x:c>
      <x:c r="I22" s="79" t="str">
        <x:f>IF(AND(I$5&lt;=Cronograma!$G23,I$5+6&gt;=Cronograma!$F23),IF(Cronograma!$D23="Hito","◆","■"),"")</x:f>
      </x:c>
      <x:c r="J22" s="79" t="str">
        <x:f>IF(AND(J$5&lt;=Cronograma!$G23,J$5+6&gt;=Cronograma!$F23),IF(Cronograma!$D23="Hito","◆","■"),"")</x:f>
      </x:c>
      <x:c r="K22" s="79" t="str">
        <x:f>IF(AND(K$5&lt;=Cronograma!$G23,K$5+6&gt;=Cronograma!$F23),IF(Cronograma!$D23="Hito","◆","■"),"")</x:f>
      </x:c>
      <x:c r="L22" s="79" t="str">
        <x:f>IF(AND(L$5&lt;=Cronograma!$G23,L$5+6&gt;=Cronograma!$F23),IF(Cronograma!$D23="Hito","◆","■"),"")</x:f>
      </x:c>
      <x:c r="M22" s="79" t="str">
        <x:f>IF(AND(M$5&lt;=Cronograma!$G23,M$5+6&gt;=Cronograma!$F23),IF(Cronograma!$D23="Hito","◆","■"),"")</x:f>
      </x:c>
      <x:c r="N22" s="79" t="str">
        <x:f>IF(AND(N$5&lt;=Cronograma!$G23,N$5+6&gt;=Cronograma!$F23),IF(Cronograma!$D23="Hito","◆","■"),"")</x:f>
      </x:c>
      <x:c r="O22" s="79" t="str">
        <x:f>IF(AND(O$5&lt;=Cronograma!$G23,O$5+6&gt;=Cronograma!$F23),IF(Cronograma!$D23="Hito","◆","■"),"")</x:f>
      </x:c>
      <x:c r="P22" s="79" t="str">
        <x:f>IF(AND(P$5&lt;=Cronograma!$G23,P$5+6&gt;=Cronograma!$F23),IF(Cronograma!$D23="Hito","◆","■"),"")</x:f>
      </x:c>
      <x:c r="Q22" s="79" t="str">
        <x:f>IF(AND(Q$5&lt;=Cronograma!$G23,Q$5+6&gt;=Cronograma!$F23),IF(Cronograma!$D23="Hito","◆","■"),"")</x:f>
      </x:c>
      <x:c r="R22" s="79" t="str">
        <x:f>IF(AND(R$5&lt;=Cronograma!$G23,R$5+6&gt;=Cronograma!$F23),IF(Cronograma!$D23="Hito","◆","■"),"")</x:f>
        <x:v>■</x:v>
      </x:c>
      <x:c r="S22" s="79" t="str">
        <x:f>IF(AND(S$5&lt;=Cronograma!$G23,S$5+6&gt;=Cronograma!$F23),IF(Cronograma!$D23="Hito","◆","■"),"")</x:f>
        <x:v>■</x:v>
      </x:c>
      <x:c r="T22" s="79" t="str">
        <x:f>IF(AND(T$5&lt;=Cronograma!$G23,T$5+6&gt;=Cronograma!$F23),IF(Cronograma!$D23="Hito","◆","■"),"")</x:f>
        <x:v>■</x:v>
      </x:c>
      <x:c r="U22" s="79" t="str">
        <x:f>IF(AND(U$5&lt;=Cronograma!$G23,U$5+6&gt;=Cronograma!$F23),IF(Cronograma!$D23="Hito","◆","■"),"")</x:f>
        <x:v>■</x:v>
      </x:c>
      <x:c r="V22" s="79" t="str">
        <x:f>IF(AND(V$5&lt;=Cronograma!$G23,V$5+6&gt;=Cronograma!$F23),IF(Cronograma!$D23="Hito","◆","■"),"")</x:f>
      </x:c>
      <x:c r="W22" s="79" t="str">
        <x:f>IF(AND(W$5&lt;=Cronograma!$G23,W$5+6&gt;=Cronograma!$F23),IF(Cronograma!$D23="Hito","◆","■"),"")</x:f>
      </x:c>
      <x:c r="X22" s="79" t="str">
        <x:f>IF(AND(X$5&lt;=Cronograma!$G23,X$5+6&gt;=Cronograma!$F23),IF(Cronograma!$D23="Hito","◆","■"),"")</x:f>
      </x:c>
      <x:c r="Y22" s="79" t="str">
        <x:f>IF(AND(Y$5&lt;=Cronograma!$G23,Y$5+6&gt;=Cronograma!$F23),IF(Cronograma!$D23="Hito","◆","■"),"")</x:f>
      </x:c>
      <x:c r="Z22" s="79" t="str">
        <x:f>IF(AND(Z$5&lt;=Cronograma!$G23,Z$5+6&gt;=Cronograma!$F23),IF(Cronograma!$D23="Hito","◆","■"),"")</x:f>
      </x:c>
      <x:c r="AA22" s="79" t="str">
        <x:f>IF(AND(AA$5&lt;=Cronograma!$G23,AA$5+6&gt;=Cronograma!$F23),IF(Cronograma!$D23="Hito","◆","■"),"")</x:f>
      </x:c>
      <x:c r="AB22" s="79" t="str">
        <x:f>IF(AND(AB$5&lt;=Cronograma!$G23,AB$5+6&gt;=Cronograma!$F23),IF(Cronograma!$D23="Hito","◆","■"),"")</x:f>
      </x:c>
      <x:c r="AC22" s="79" t="str">
        <x:f>IF(AND(AC$5&lt;=Cronograma!$G23,AC$5+6&gt;=Cronograma!$F23),IF(Cronograma!$D23="Hito","◆","■"),"")</x:f>
      </x:c>
      <x:c r="AD22" s="79" t="str">
        <x:f>IF(AND(AD$5&lt;=Cronograma!$G23,AD$5+6&gt;=Cronograma!$F23),IF(Cronograma!$D23="Hito","◆","■"),"")</x:f>
      </x:c>
      <x:c r="AE22" s="79" t="str">
        <x:f>IF(AND(AE$5&lt;=Cronograma!$G23,AE$5+6&gt;=Cronograma!$F23),IF(Cronograma!$D23="Hito","◆","■"),"")</x:f>
      </x:c>
    </x:row>
    <x:row r="23" ht="25" customHeight="1">
      <x:c r="A23" s="76" t="str">
        <x:f>Cronograma!A24</x:f>
        <x:v>CO-05</x:v>
      </x:c>
      <x:c r="B23" s="76" t="str">
        <x:f>Cronograma!B24</x:f>
        <x:v>Construcción</x:v>
      </x:c>
      <x:c r="C23" s="76" t="str">
        <x:f>Cronograma!C24</x:f>
        <x:v>Resultados , protocolos y evidencias</x:v>
      </x:c>
      <x:c r="D23" s="77" t="n">
        <x:f>Cronograma!F24</x:f>
        <x:v>46370</x:v>
      </x:c>
      <x:c r="E23" s="77" t="n">
        <x:f>Cronograma!G24</x:f>
        <x:v>46402</x:v>
      </x:c>
      <x:c r="F23" s="78" t="n">
        <x:f>Cronograma!H24</x:f>
        <x:v>33</x:v>
      </x:c>
      <x:c r="G23" s="79" t="str">
        <x:f>IF(AND(G$5&lt;=Cronograma!$G24,G$5+6&gt;=Cronograma!$F24),IF(Cronograma!$D24="Hito","◆","■"),"")</x:f>
      </x:c>
      <x:c r="H23" s="79" t="str">
        <x:f>IF(AND(H$5&lt;=Cronograma!$G24,H$5+6&gt;=Cronograma!$F24),IF(Cronograma!$D24="Hito","◆","■"),"")</x:f>
      </x:c>
      <x:c r="I23" s="79" t="str">
        <x:f>IF(AND(I$5&lt;=Cronograma!$G24,I$5+6&gt;=Cronograma!$F24),IF(Cronograma!$D24="Hito","◆","■"),"")</x:f>
      </x:c>
      <x:c r="J23" s="79" t="str">
        <x:f>IF(AND(J$5&lt;=Cronograma!$G24,J$5+6&gt;=Cronograma!$F24),IF(Cronograma!$D24="Hito","◆","■"),"")</x:f>
      </x:c>
      <x:c r="K23" s="79" t="str">
        <x:f>IF(AND(K$5&lt;=Cronograma!$G24,K$5+6&gt;=Cronograma!$F24),IF(Cronograma!$D24="Hito","◆","■"),"")</x:f>
      </x:c>
      <x:c r="L23" s="79" t="str">
        <x:f>IF(AND(L$5&lt;=Cronograma!$G24,L$5+6&gt;=Cronograma!$F24),IF(Cronograma!$D24="Hito","◆","■"),"")</x:f>
      </x:c>
      <x:c r="M23" s="79" t="str">
        <x:f>IF(AND(M$5&lt;=Cronograma!$G24,M$5+6&gt;=Cronograma!$F24),IF(Cronograma!$D24="Hito","◆","■"),"")</x:f>
      </x:c>
      <x:c r="N23" s="79" t="str">
        <x:f>IF(AND(N$5&lt;=Cronograma!$G24,N$5+6&gt;=Cronograma!$F24),IF(Cronograma!$D24="Hito","◆","■"),"")</x:f>
      </x:c>
      <x:c r="O23" s="79" t="str">
        <x:f>IF(AND(O$5&lt;=Cronograma!$G24,O$5+6&gt;=Cronograma!$F24),IF(Cronograma!$D24="Hito","◆","■"),"")</x:f>
      </x:c>
      <x:c r="P23" s="79" t="str">
        <x:f>IF(AND(P$5&lt;=Cronograma!$G24,P$5+6&gt;=Cronograma!$F24),IF(Cronograma!$D24="Hito","◆","■"),"")</x:f>
      </x:c>
      <x:c r="Q23" s="79" t="str">
        <x:f>IF(AND(Q$5&lt;=Cronograma!$G24,Q$5+6&gt;=Cronograma!$F24),IF(Cronograma!$D24="Hito","◆","■"),"")</x:f>
      </x:c>
      <x:c r="R23" s="79" t="str">
        <x:f>IF(AND(R$5&lt;=Cronograma!$G24,R$5+6&gt;=Cronograma!$F24),IF(Cronograma!$D24="Hito","◆","■"),"")</x:f>
      </x:c>
      <x:c r="S23" s="79" t="str">
        <x:f>IF(AND(S$5&lt;=Cronograma!$G24,S$5+6&gt;=Cronograma!$F24),IF(Cronograma!$D24="Hito","◆","■"),"")</x:f>
      </x:c>
      <x:c r="T23" s="79" t="str">
        <x:f>IF(AND(T$5&lt;=Cronograma!$G24,T$5+6&gt;=Cronograma!$F24),IF(Cronograma!$D24="Hito","◆","■"),"")</x:f>
      </x:c>
      <x:c r="U23" s="79" t="str">
        <x:f>IF(AND(U$5&lt;=Cronograma!$G24,U$5+6&gt;=Cronograma!$F24),IF(Cronograma!$D24="Hito","◆","■"),"")</x:f>
        <x:v>■</x:v>
      </x:c>
      <x:c r="V23" s="79" t="str">
        <x:f>IF(AND(V$5&lt;=Cronograma!$G24,V$5+6&gt;=Cronograma!$F24),IF(Cronograma!$D24="Hito","◆","■"),"")</x:f>
        <x:v>■</x:v>
      </x:c>
      <x:c r="W23" s="79" t="str">
        <x:f>IF(AND(W$5&lt;=Cronograma!$G24,W$5+6&gt;=Cronograma!$F24),IF(Cronograma!$D24="Hito","◆","■"),"")</x:f>
        <x:v>■</x:v>
      </x:c>
      <x:c r="X23" s="79" t="str">
        <x:f>IF(AND(X$5&lt;=Cronograma!$G24,X$5+6&gt;=Cronograma!$F24),IF(Cronograma!$D24="Hito","◆","■"),"")</x:f>
        <x:v>■</x:v>
      </x:c>
      <x:c r="Y23" s="79" t="str">
        <x:f>IF(AND(Y$5&lt;=Cronograma!$G24,Y$5+6&gt;=Cronograma!$F24),IF(Cronograma!$D24="Hito","◆","■"),"")</x:f>
        <x:v>■</x:v>
      </x:c>
      <x:c r="Z23" s="79" t="str">
        <x:f>IF(AND(Z$5&lt;=Cronograma!$G24,Z$5+6&gt;=Cronograma!$F24),IF(Cronograma!$D24="Hito","◆","■"),"")</x:f>
      </x:c>
      <x:c r="AA23" s="79" t="str">
        <x:f>IF(AND(AA$5&lt;=Cronograma!$G24,AA$5+6&gt;=Cronograma!$F24),IF(Cronograma!$D24="Hito","◆","■"),"")</x:f>
      </x:c>
      <x:c r="AB23" s="79" t="str">
        <x:f>IF(AND(AB$5&lt;=Cronograma!$G24,AB$5+6&gt;=Cronograma!$F24),IF(Cronograma!$D24="Hito","◆","■"),"")</x:f>
      </x:c>
      <x:c r="AC23" s="79" t="str">
        <x:f>IF(AND(AC$5&lt;=Cronograma!$G24,AC$5+6&gt;=Cronograma!$F24),IF(Cronograma!$D24="Hito","◆","■"),"")</x:f>
      </x:c>
      <x:c r="AD23" s="79" t="str">
        <x:f>IF(AND(AD$5&lt;=Cronograma!$G24,AD$5+6&gt;=Cronograma!$F24),IF(Cronograma!$D24="Hito","◆","■"),"")</x:f>
      </x:c>
      <x:c r="AE23" s="79" t="str">
        <x:f>IF(AND(AE$5&lt;=Cronograma!$G24,AE$5+6&gt;=Cronograma!$F24),IF(Cronograma!$D24="Hito","◆","■"),"")</x:f>
      </x:c>
    </x:row>
    <x:row r="24" ht="25" customHeight="1">
      <x:c r="A24" s="76" t="str">
        <x:f>Cronograma!A25</x:f>
        <x:v>CO-06</x:v>
      </x:c>
      <x:c r="B24" s="76" t="str">
        <x:f>Cronograma!B25</x:f>
        <x:v>Construcción</x:v>
      </x:c>
      <x:c r="C24" s="76" t="str">
        <x:f>Cronograma!C25</x:f>
        <x:v>Aprobaciones, entregas y traspasos</x:v>
      </x:c>
      <x:c r="D24" s="77" t="n">
        <x:f>Cronograma!F25</x:f>
        <x:v>46391</x:v>
      </x:c>
      <x:c r="E24" s="77" t="n">
        <x:f>Cronograma!G25</x:f>
        <x:v>46416</x:v>
      </x:c>
      <x:c r="F24" s="78" t="n">
        <x:f>Cronograma!H25</x:f>
        <x:v>26</x:v>
      </x:c>
      <x:c r="G24" s="79" t="str">
        <x:f>IF(AND(G$5&lt;=Cronograma!$G25,G$5+6&gt;=Cronograma!$F25),IF(Cronograma!$D25="Hito","◆","■"),"")</x:f>
      </x:c>
      <x:c r="H24" s="79" t="str">
        <x:f>IF(AND(H$5&lt;=Cronograma!$G25,H$5+6&gt;=Cronograma!$F25),IF(Cronograma!$D25="Hito","◆","■"),"")</x:f>
      </x:c>
      <x:c r="I24" s="79" t="str">
        <x:f>IF(AND(I$5&lt;=Cronograma!$G25,I$5+6&gt;=Cronograma!$F25),IF(Cronograma!$D25="Hito","◆","■"),"")</x:f>
      </x:c>
      <x:c r="J24" s="79" t="str">
        <x:f>IF(AND(J$5&lt;=Cronograma!$G25,J$5+6&gt;=Cronograma!$F25),IF(Cronograma!$D25="Hito","◆","■"),"")</x:f>
      </x:c>
      <x:c r="K24" s="79" t="str">
        <x:f>IF(AND(K$5&lt;=Cronograma!$G25,K$5+6&gt;=Cronograma!$F25),IF(Cronograma!$D25="Hito","◆","■"),"")</x:f>
      </x:c>
      <x:c r="L24" s="79" t="str">
        <x:f>IF(AND(L$5&lt;=Cronograma!$G25,L$5+6&gt;=Cronograma!$F25),IF(Cronograma!$D25="Hito","◆","■"),"")</x:f>
      </x:c>
      <x:c r="M24" s="79" t="str">
        <x:f>IF(AND(M$5&lt;=Cronograma!$G25,M$5+6&gt;=Cronograma!$F25),IF(Cronograma!$D25="Hito","◆","■"),"")</x:f>
      </x:c>
      <x:c r="N24" s="79" t="str">
        <x:f>IF(AND(N$5&lt;=Cronograma!$G25,N$5+6&gt;=Cronograma!$F25),IF(Cronograma!$D25="Hito","◆","■"),"")</x:f>
      </x:c>
      <x:c r="O24" s="79" t="str">
        <x:f>IF(AND(O$5&lt;=Cronograma!$G25,O$5+6&gt;=Cronograma!$F25),IF(Cronograma!$D25="Hito","◆","■"),"")</x:f>
      </x:c>
      <x:c r="P24" s="79" t="str">
        <x:f>IF(AND(P$5&lt;=Cronograma!$G25,P$5+6&gt;=Cronograma!$F25),IF(Cronograma!$D25="Hito","◆","■"),"")</x:f>
      </x:c>
      <x:c r="Q24" s="79" t="str">
        <x:f>IF(AND(Q$5&lt;=Cronograma!$G25,Q$5+6&gt;=Cronograma!$F25),IF(Cronograma!$D25="Hito","◆","■"),"")</x:f>
      </x:c>
      <x:c r="R24" s="79" t="str">
        <x:f>IF(AND(R$5&lt;=Cronograma!$G25,R$5+6&gt;=Cronograma!$F25),IF(Cronograma!$D25="Hito","◆","■"),"")</x:f>
      </x:c>
      <x:c r="S24" s="79" t="str">
        <x:f>IF(AND(S$5&lt;=Cronograma!$G25,S$5+6&gt;=Cronograma!$F25),IF(Cronograma!$D25="Hito","◆","■"),"")</x:f>
      </x:c>
      <x:c r="T24" s="79" t="str">
        <x:f>IF(AND(T$5&lt;=Cronograma!$G25,T$5+6&gt;=Cronograma!$F25),IF(Cronograma!$D25="Hito","◆","■"),"")</x:f>
      </x:c>
      <x:c r="U24" s="79" t="str">
        <x:f>IF(AND(U$5&lt;=Cronograma!$G25,U$5+6&gt;=Cronograma!$F25),IF(Cronograma!$D25="Hito","◆","■"),"")</x:f>
      </x:c>
      <x:c r="V24" s="79" t="str">
        <x:f>IF(AND(V$5&lt;=Cronograma!$G25,V$5+6&gt;=Cronograma!$F25),IF(Cronograma!$D25="Hito","◆","■"),"")</x:f>
      </x:c>
      <x:c r="W24" s="79" t="str">
        <x:f>IF(AND(W$5&lt;=Cronograma!$G25,W$5+6&gt;=Cronograma!$F25),IF(Cronograma!$D25="Hito","◆","■"),"")</x:f>
      </x:c>
      <x:c r="X24" s="79" t="str">
        <x:f>IF(AND(X$5&lt;=Cronograma!$G25,X$5+6&gt;=Cronograma!$F25),IF(Cronograma!$D25="Hito","◆","■"),"")</x:f>
        <x:v>■</x:v>
      </x:c>
      <x:c r="Y24" s="79" t="str">
        <x:f>IF(AND(Y$5&lt;=Cronograma!$G25,Y$5+6&gt;=Cronograma!$F25),IF(Cronograma!$D25="Hito","◆","■"),"")</x:f>
        <x:v>■</x:v>
      </x:c>
      <x:c r="Z24" s="79" t="str">
        <x:f>IF(AND(Z$5&lt;=Cronograma!$G25,Z$5+6&gt;=Cronograma!$F25),IF(Cronograma!$D25="Hito","◆","■"),"")</x:f>
        <x:v>■</x:v>
      </x:c>
      <x:c r="AA24" s="79" t="str">
        <x:f>IF(AND(AA$5&lt;=Cronograma!$G25,AA$5+6&gt;=Cronograma!$F25),IF(Cronograma!$D25="Hito","◆","■"),"")</x:f>
        <x:v>■</x:v>
      </x:c>
      <x:c r="AB24" s="79" t="str">
        <x:f>IF(AND(AB$5&lt;=Cronograma!$G25,AB$5+6&gt;=Cronograma!$F25),IF(Cronograma!$D25="Hito","◆","■"),"")</x:f>
      </x:c>
      <x:c r="AC24" s="79" t="str">
        <x:f>IF(AND(AC$5&lt;=Cronograma!$G25,AC$5+6&gt;=Cronograma!$F25),IF(Cronograma!$D25="Hito","◆","■"),"")</x:f>
      </x:c>
      <x:c r="AD24" s="79" t="str">
        <x:f>IF(AND(AD$5&lt;=Cronograma!$G25,AD$5+6&gt;=Cronograma!$F25),IF(Cronograma!$D25="Hito","◆","■"),"")</x:f>
      </x:c>
      <x:c r="AE24" s="79" t="str">
        <x:f>IF(AND(AE$5&lt;=Cronograma!$G25,AE$5+6&gt;=Cronograma!$F25),IF(Cronograma!$D25="Hito","◆","■"),"")</x:f>
      </x:c>
    </x:row>
    <x:row r="25" ht="25" customHeight="1">
      <x:c r="A25" s="76" t="str">
        <x:f>Cronograma!A26</x:f>
        <x:v>CO-07</x:v>
      </x:c>
      <x:c r="B25" s="76" t="str">
        <x:f>Cronograma!B26</x:f>
        <x:v>Construcción</x:v>
      </x:c>
      <x:c r="C25" s="76" t="str">
        <x:f>Cronograma!C26</x:f>
        <x:v>Diseño de formularios</x:v>
      </x:c>
      <x:c r="D25" s="77" t="n">
        <x:f>Cronograma!F26</x:f>
        <x:v>46314</x:v>
      </x:c>
      <x:c r="E25" s="77" t="n">
        <x:f>Cronograma!G26</x:f>
        <x:v>46416</x:v>
      </x:c>
      <x:c r="F25" s="78" t="n">
        <x:f>Cronograma!H26</x:f>
        <x:v>103</x:v>
      </x:c>
      <x:c r="G25" s="79" t="str">
        <x:f>IF(AND(G$5&lt;=Cronograma!$G26,G$5+6&gt;=Cronograma!$F26),IF(Cronograma!$D26="Hito","◆","■"),"")</x:f>
      </x:c>
      <x:c r="H25" s="79" t="str">
        <x:f>IF(AND(H$5&lt;=Cronograma!$G26,H$5+6&gt;=Cronograma!$F26),IF(Cronograma!$D26="Hito","◆","■"),"")</x:f>
      </x:c>
      <x:c r="I25" s="79" t="str">
        <x:f>IF(AND(I$5&lt;=Cronograma!$G26,I$5+6&gt;=Cronograma!$F26),IF(Cronograma!$D26="Hito","◆","■"),"")</x:f>
      </x:c>
      <x:c r="J25" s="79" t="str">
        <x:f>IF(AND(J$5&lt;=Cronograma!$G26,J$5+6&gt;=Cronograma!$F26),IF(Cronograma!$D26="Hito","◆","■"),"")</x:f>
      </x:c>
      <x:c r="K25" s="79" t="str">
        <x:f>IF(AND(K$5&lt;=Cronograma!$G26,K$5+6&gt;=Cronograma!$F26),IF(Cronograma!$D26="Hito","◆","■"),"")</x:f>
      </x:c>
      <x:c r="L25" s="79" t="str">
        <x:f>IF(AND(L$5&lt;=Cronograma!$G26,L$5+6&gt;=Cronograma!$F26),IF(Cronograma!$D26="Hito","◆","■"),"")</x:f>
      </x:c>
      <x:c r="M25" s="79" t="str">
        <x:f>IF(AND(M$5&lt;=Cronograma!$G26,M$5+6&gt;=Cronograma!$F26),IF(Cronograma!$D26="Hito","◆","■"),"")</x:f>
        <x:v>■</x:v>
      </x:c>
      <x:c r="N25" s="79" t="str">
        <x:f>IF(AND(N$5&lt;=Cronograma!$G26,N$5+6&gt;=Cronograma!$F26),IF(Cronograma!$D26="Hito","◆","■"),"")</x:f>
        <x:v>■</x:v>
      </x:c>
      <x:c r="O25" s="79" t="str">
        <x:f>IF(AND(O$5&lt;=Cronograma!$G26,O$5+6&gt;=Cronograma!$F26),IF(Cronograma!$D26="Hito","◆","■"),"")</x:f>
        <x:v>■</x:v>
      </x:c>
      <x:c r="P25" s="79" t="str">
        <x:f>IF(AND(P$5&lt;=Cronograma!$G26,P$5+6&gt;=Cronograma!$F26),IF(Cronograma!$D26="Hito","◆","■"),"")</x:f>
        <x:v>■</x:v>
      </x:c>
      <x:c r="Q25" s="79" t="str">
        <x:f>IF(AND(Q$5&lt;=Cronograma!$G26,Q$5+6&gt;=Cronograma!$F26),IF(Cronograma!$D26="Hito","◆","■"),"")</x:f>
        <x:v>■</x:v>
      </x:c>
      <x:c r="R25" s="79" t="str">
        <x:f>IF(AND(R$5&lt;=Cronograma!$G26,R$5+6&gt;=Cronograma!$F26),IF(Cronograma!$D26="Hito","◆","■"),"")</x:f>
        <x:v>■</x:v>
      </x:c>
      <x:c r="S25" s="79" t="str">
        <x:f>IF(AND(S$5&lt;=Cronograma!$G26,S$5+6&gt;=Cronograma!$F26),IF(Cronograma!$D26="Hito","◆","■"),"")</x:f>
        <x:v>■</x:v>
      </x:c>
      <x:c r="T25" s="79" t="str">
        <x:f>IF(AND(T$5&lt;=Cronograma!$G26,T$5+6&gt;=Cronograma!$F26),IF(Cronograma!$D26="Hito","◆","■"),"")</x:f>
        <x:v>■</x:v>
      </x:c>
      <x:c r="U25" s="79" t="str">
        <x:f>IF(AND(U$5&lt;=Cronograma!$G26,U$5+6&gt;=Cronograma!$F26),IF(Cronograma!$D26="Hito","◆","■"),"")</x:f>
        <x:v>■</x:v>
      </x:c>
      <x:c r="V25" s="79" t="str">
        <x:f>IF(AND(V$5&lt;=Cronograma!$G26,V$5+6&gt;=Cronograma!$F26),IF(Cronograma!$D26="Hito","◆","■"),"")</x:f>
        <x:v>■</x:v>
      </x:c>
      <x:c r="W25" s="79" t="str">
        <x:f>IF(AND(W$5&lt;=Cronograma!$G26,W$5+6&gt;=Cronograma!$F26),IF(Cronograma!$D26="Hito","◆","■"),"")</x:f>
        <x:v>■</x:v>
      </x:c>
      <x:c r="X25" s="79" t="str">
        <x:f>IF(AND(X$5&lt;=Cronograma!$G26,X$5+6&gt;=Cronograma!$F26),IF(Cronograma!$D26="Hito","◆","■"),"")</x:f>
        <x:v>■</x:v>
      </x:c>
      <x:c r="Y25" s="79" t="str">
        <x:f>IF(AND(Y$5&lt;=Cronograma!$G26,Y$5+6&gt;=Cronograma!$F26),IF(Cronograma!$D26="Hito","◆","■"),"")</x:f>
        <x:v>■</x:v>
      </x:c>
      <x:c r="Z25" s="79" t="str">
        <x:f>IF(AND(Z$5&lt;=Cronograma!$G26,Z$5+6&gt;=Cronograma!$F26),IF(Cronograma!$D26="Hito","◆","■"),"")</x:f>
        <x:v>■</x:v>
      </x:c>
      <x:c r="AA25" s="79" t="str">
        <x:f>IF(AND(AA$5&lt;=Cronograma!$G26,AA$5+6&gt;=Cronograma!$F26),IF(Cronograma!$D26="Hito","◆","■"),"")</x:f>
        <x:v>■</x:v>
      </x:c>
      <x:c r="AB25" s="79" t="str">
        <x:f>IF(AND(AB$5&lt;=Cronograma!$G26,AB$5+6&gt;=Cronograma!$F26),IF(Cronograma!$D26="Hito","◆","■"),"")</x:f>
      </x:c>
      <x:c r="AC25" s="79" t="str">
        <x:f>IF(AND(AC$5&lt;=Cronograma!$G26,AC$5+6&gt;=Cronograma!$F26),IF(Cronograma!$D26="Hito","◆","■"),"")</x:f>
      </x:c>
      <x:c r="AD25" s="79" t="str">
        <x:f>IF(AND(AD$5&lt;=Cronograma!$G26,AD$5+6&gt;=Cronograma!$F26),IF(Cronograma!$D26="Hito","◆","■"),"")</x:f>
      </x:c>
      <x:c r="AE25" s="79" t="str">
        <x:f>IF(AND(AE$5&lt;=Cronograma!$G26,AE$5+6&gt;=Cronograma!$F26),IF(Cronograma!$D26="Hito","◆","■"),"")</x:f>
      </x:c>
    </x:row>
    <x:row r="26" ht="25" customHeight="1">
      <x:c r="A26" s="76" t="str">
        <x:f>Cronograma!A27</x:f>
        <x:v>CO-08</x:v>
      </x:c>
      <x:c r="B26" s="76" t="str">
        <x:f>Cronograma!B27</x:f>
        <x:v>Construcción</x:v>
      </x:c>
      <x:c r="C26" s="76" t="str">
        <x:f>Cronograma!C27</x:f>
        <x:v>Construcciòn de APIs</x:v>
      </x:c>
      <x:c r="D26" s="77" t="n">
        <x:f>Cronograma!F27</x:f>
        <x:v>46314</x:v>
      </x:c>
      <x:c r="E26" s="77" t="n">
        <x:f>Cronograma!G27</x:f>
        <x:v>46416</x:v>
      </x:c>
      <x:c r="F26" s="78" t="n">
        <x:f>Cronograma!H27</x:f>
        <x:v>103</x:v>
      </x:c>
      <x:c r="G26" s="79" t="str">
        <x:f>IF(AND(G$5&lt;=Cronograma!$G27,G$5+6&gt;=Cronograma!$F27),IF(Cronograma!$D27="Hito","◆","■"),"")</x:f>
      </x:c>
      <x:c r="H26" s="79" t="str">
        <x:f>IF(AND(H$5&lt;=Cronograma!$G27,H$5+6&gt;=Cronograma!$F27),IF(Cronograma!$D27="Hito","◆","■"),"")</x:f>
      </x:c>
      <x:c r="I26" s="79" t="str">
        <x:f>IF(AND(I$5&lt;=Cronograma!$G27,I$5+6&gt;=Cronograma!$F27),IF(Cronograma!$D27="Hito","◆","■"),"")</x:f>
      </x:c>
      <x:c r="J26" s="79" t="str">
        <x:f>IF(AND(J$5&lt;=Cronograma!$G27,J$5+6&gt;=Cronograma!$F27),IF(Cronograma!$D27="Hito","◆","■"),"")</x:f>
      </x:c>
      <x:c r="K26" s="79" t="str">
        <x:f>IF(AND(K$5&lt;=Cronograma!$G27,K$5+6&gt;=Cronograma!$F27),IF(Cronograma!$D27="Hito","◆","■"),"")</x:f>
      </x:c>
      <x:c r="L26" s="79" t="str">
        <x:f>IF(AND(L$5&lt;=Cronograma!$G27,L$5+6&gt;=Cronograma!$F27),IF(Cronograma!$D27="Hito","◆","■"),"")</x:f>
      </x:c>
      <x:c r="M26" s="79" t="str">
        <x:f>IF(AND(M$5&lt;=Cronograma!$G27,M$5+6&gt;=Cronograma!$F27),IF(Cronograma!$D27="Hito","◆","■"),"")</x:f>
        <x:v>■</x:v>
      </x:c>
      <x:c r="N26" s="79" t="str">
        <x:f>IF(AND(N$5&lt;=Cronograma!$G27,N$5+6&gt;=Cronograma!$F27),IF(Cronograma!$D27="Hito","◆","■"),"")</x:f>
        <x:v>■</x:v>
      </x:c>
      <x:c r="O26" s="79" t="str">
        <x:f>IF(AND(O$5&lt;=Cronograma!$G27,O$5+6&gt;=Cronograma!$F27),IF(Cronograma!$D27="Hito","◆","■"),"")</x:f>
        <x:v>■</x:v>
      </x:c>
      <x:c r="P26" s="79" t="str">
        <x:f>IF(AND(P$5&lt;=Cronograma!$G27,P$5+6&gt;=Cronograma!$F27),IF(Cronograma!$D27="Hito","◆","■"),"")</x:f>
        <x:v>■</x:v>
      </x:c>
      <x:c r="Q26" s="79" t="str">
        <x:f>IF(AND(Q$5&lt;=Cronograma!$G27,Q$5+6&gt;=Cronograma!$F27),IF(Cronograma!$D27="Hito","◆","■"),"")</x:f>
        <x:v>■</x:v>
      </x:c>
      <x:c r="R26" s="79" t="str">
        <x:f>IF(AND(R$5&lt;=Cronograma!$G27,R$5+6&gt;=Cronograma!$F27),IF(Cronograma!$D27="Hito","◆","■"),"")</x:f>
        <x:v>■</x:v>
      </x:c>
      <x:c r="S26" s="79" t="str">
        <x:f>IF(AND(S$5&lt;=Cronograma!$G27,S$5+6&gt;=Cronograma!$F27),IF(Cronograma!$D27="Hito","◆","■"),"")</x:f>
        <x:v>■</x:v>
      </x:c>
      <x:c r="T26" s="79" t="str">
        <x:f>IF(AND(T$5&lt;=Cronograma!$G27,T$5+6&gt;=Cronograma!$F27),IF(Cronograma!$D27="Hito","◆","■"),"")</x:f>
        <x:v>■</x:v>
      </x:c>
      <x:c r="U26" s="79" t="str">
        <x:f>IF(AND(U$5&lt;=Cronograma!$G27,U$5+6&gt;=Cronograma!$F27),IF(Cronograma!$D27="Hito","◆","■"),"")</x:f>
        <x:v>■</x:v>
      </x:c>
      <x:c r="V26" s="79" t="str">
        <x:f>IF(AND(V$5&lt;=Cronograma!$G27,V$5+6&gt;=Cronograma!$F27),IF(Cronograma!$D27="Hito","◆","■"),"")</x:f>
        <x:v>■</x:v>
      </x:c>
      <x:c r="W26" s="79" t="str">
        <x:f>IF(AND(W$5&lt;=Cronograma!$G27,W$5+6&gt;=Cronograma!$F27),IF(Cronograma!$D27="Hito","◆","■"),"")</x:f>
        <x:v>■</x:v>
      </x:c>
      <x:c r="X26" s="79" t="str">
        <x:f>IF(AND(X$5&lt;=Cronograma!$G27,X$5+6&gt;=Cronograma!$F27),IF(Cronograma!$D27="Hito","◆","■"),"")</x:f>
        <x:v>■</x:v>
      </x:c>
      <x:c r="Y26" s="79" t="str">
        <x:f>IF(AND(Y$5&lt;=Cronograma!$G27,Y$5+6&gt;=Cronograma!$F27),IF(Cronograma!$D27="Hito","◆","■"),"")</x:f>
        <x:v>■</x:v>
      </x:c>
      <x:c r="Z26" s="79" t="str">
        <x:f>IF(AND(Z$5&lt;=Cronograma!$G27,Z$5+6&gt;=Cronograma!$F27),IF(Cronograma!$D27="Hito","◆","■"),"")</x:f>
        <x:v>■</x:v>
      </x:c>
      <x:c r="AA26" s="79" t="str">
        <x:f>IF(AND(AA$5&lt;=Cronograma!$G27,AA$5+6&gt;=Cronograma!$F27),IF(Cronograma!$D27="Hito","◆","■"),"")</x:f>
        <x:v>■</x:v>
      </x:c>
      <x:c r="AB26" s="79" t="str">
        <x:f>IF(AND(AB$5&lt;=Cronograma!$G27,AB$5+6&gt;=Cronograma!$F27),IF(Cronograma!$D27="Hito","◆","■"),"")</x:f>
      </x:c>
      <x:c r="AC26" s="79" t="str">
        <x:f>IF(AND(AC$5&lt;=Cronograma!$G27,AC$5+6&gt;=Cronograma!$F27),IF(Cronograma!$D27="Hito","◆","■"),"")</x:f>
      </x:c>
      <x:c r="AD26" s="79" t="str">
        <x:f>IF(AND(AD$5&lt;=Cronograma!$G27,AD$5+6&gt;=Cronograma!$F27),IF(Cronograma!$D27="Hito","◆","■"),"")</x:f>
      </x:c>
      <x:c r="AE26" s="79" t="str">
        <x:f>IF(AND(AE$5&lt;=Cronograma!$G27,AE$5+6&gt;=Cronograma!$F27),IF(Cronograma!$D27="Hito","◆","■"),"")</x:f>
      </x:c>
    </x:row>
    <x:row r="27" ht="25" customHeight="1">
      <x:c r="A27" s="76" t="str">
        <x:f>Cronograma!A28</x:f>
        <x:v>CO-09</x:v>
      </x:c>
      <x:c r="B27" s="76" t="str">
        <x:f>Cronograma!B28</x:f>
        <x:v>Construcción</x:v>
      </x:c>
      <x:c r="C27" s="76" t="str">
        <x:f>Cronograma!C28</x:f>
        <x:v>Construcciòn de reglas de negocio</x:v>
      </x:c>
      <x:c r="D27" s="77" t="n">
        <x:f>Cronograma!F28</x:f>
        <x:v>46314</x:v>
      </x:c>
      <x:c r="E27" s="77" t="n">
        <x:f>Cronograma!G28</x:f>
        <x:v>46416</x:v>
      </x:c>
      <x:c r="F27" s="78" t="n">
        <x:f>Cronograma!H28</x:f>
        <x:v>103</x:v>
      </x:c>
      <x:c r="G27" s="79" t="str">
        <x:f>IF(AND(G$5&lt;=Cronograma!$G28,G$5+6&gt;=Cronograma!$F28),IF(Cronograma!$D28="Hito","◆","■"),"")</x:f>
      </x:c>
      <x:c r="H27" s="79" t="str">
        <x:f>IF(AND(H$5&lt;=Cronograma!$G28,H$5+6&gt;=Cronograma!$F28),IF(Cronograma!$D28="Hito","◆","■"),"")</x:f>
      </x:c>
      <x:c r="I27" s="79" t="str">
        <x:f>IF(AND(I$5&lt;=Cronograma!$G28,I$5+6&gt;=Cronograma!$F28),IF(Cronograma!$D28="Hito","◆","■"),"")</x:f>
      </x:c>
      <x:c r="J27" s="79" t="str">
        <x:f>IF(AND(J$5&lt;=Cronograma!$G28,J$5+6&gt;=Cronograma!$F28),IF(Cronograma!$D28="Hito","◆","■"),"")</x:f>
      </x:c>
      <x:c r="K27" s="79" t="str">
        <x:f>IF(AND(K$5&lt;=Cronograma!$G28,K$5+6&gt;=Cronograma!$F28),IF(Cronograma!$D28="Hito","◆","■"),"")</x:f>
      </x:c>
      <x:c r="L27" s="79" t="str">
        <x:f>IF(AND(L$5&lt;=Cronograma!$G28,L$5+6&gt;=Cronograma!$F28),IF(Cronograma!$D28="Hito","◆","■"),"")</x:f>
      </x:c>
      <x:c r="M27" s="79" t="str">
        <x:f>IF(AND(M$5&lt;=Cronograma!$G28,M$5+6&gt;=Cronograma!$F28),IF(Cronograma!$D28="Hito","◆","■"),"")</x:f>
        <x:v>■</x:v>
      </x:c>
      <x:c r="N27" s="79" t="str">
        <x:f>IF(AND(N$5&lt;=Cronograma!$G28,N$5+6&gt;=Cronograma!$F28),IF(Cronograma!$D28="Hito","◆","■"),"")</x:f>
        <x:v>■</x:v>
      </x:c>
      <x:c r="O27" s="79" t="str">
        <x:f>IF(AND(O$5&lt;=Cronograma!$G28,O$5+6&gt;=Cronograma!$F28),IF(Cronograma!$D28="Hito","◆","■"),"")</x:f>
        <x:v>■</x:v>
      </x:c>
      <x:c r="P27" s="79" t="str">
        <x:f>IF(AND(P$5&lt;=Cronograma!$G28,P$5+6&gt;=Cronograma!$F28),IF(Cronograma!$D28="Hito","◆","■"),"")</x:f>
        <x:v>■</x:v>
      </x:c>
      <x:c r="Q27" s="79" t="str">
        <x:f>IF(AND(Q$5&lt;=Cronograma!$G28,Q$5+6&gt;=Cronograma!$F28),IF(Cronograma!$D28="Hito","◆","■"),"")</x:f>
        <x:v>■</x:v>
      </x:c>
      <x:c r="R27" s="79" t="str">
        <x:f>IF(AND(R$5&lt;=Cronograma!$G28,R$5+6&gt;=Cronograma!$F28),IF(Cronograma!$D28="Hito","◆","■"),"")</x:f>
        <x:v>■</x:v>
      </x:c>
      <x:c r="S27" s="79" t="str">
        <x:f>IF(AND(S$5&lt;=Cronograma!$G28,S$5+6&gt;=Cronograma!$F28),IF(Cronograma!$D28="Hito","◆","■"),"")</x:f>
        <x:v>■</x:v>
      </x:c>
      <x:c r="T27" s="79" t="str">
        <x:f>IF(AND(T$5&lt;=Cronograma!$G28,T$5+6&gt;=Cronograma!$F28),IF(Cronograma!$D28="Hito","◆","■"),"")</x:f>
        <x:v>■</x:v>
      </x:c>
      <x:c r="U27" s="79" t="str">
        <x:f>IF(AND(U$5&lt;=Cronograma!$G28,U$5+6&gt;=Cronograma!$F28),IF(Cronograma!$D28="Hito","◆","■"),"")</x:f>
        <x:v>■</x:v>
      </x:c>
      <x:c r="V27" s="79" t="str">
        <x:f>IF(AND(V$5&lt;=Cronograma!$G28,V$5+6&gt;=Cronograma!$F28),IF(Cronograma!$D28="Hito","◆","■"),"")</x:f>
        <x:v>■</x:v>
      </x:c>
      <x:c r="W27" s="79" t="str">
        <x:f>IF(AND(W$5&lt;=Cronograma!$G28,W$5+6&gt;=Cronograma!$F28),IF(Cronograma!$D28="Hito","◆","■"),"")</x:f>
        <x:v>■</x:v>
      </x:c>
      <x:c r="X27" s="79" t="str">
        <x:f>IF(AND(X$5&lt;=Cronograma!$G28,X$5+6&gt;=Cronograma!$F28),IF(Cronograma!$D28="Hito","◆","■"),"")</x:f>
        <x:v>■</x:v>
      </x:c>
      <x:c r="Y27" s="79" t="str">
        <x:f>IF(AND(Y$5&lt;=Cronograma!$G28,Y$5+6&gt;=Cronograma!$F28),IF(Cronograma!$D28="Hito","◆","■"),"")</x:f>
        <x:v>■</x:v>
      </x:c>
      <x:c r="Z27" s="79" t="str">
        <x:f>IF(AND(Z$5&lt;=Cronograma!$G28,Z$5+6&gt;=Cronograma!$F28),IF(Cronograma!$D28="Hito","◆","■"),"")</x:f>
        <x:v>■</x:v>
      </x:c>
      <x:c r="AA27" s="79" t="str">
        <x:f>IF(AND(AA$5&lt;=Cronograma!$G28,AA$5+6&gt;=Cronograma!$F28),IF(Cronograma!$D28="Hito","◆","■"),"")</x:f>
        <x:v>■</x:v>
      </x:c>
      <x:c r="AB27" s="79" t="str">
        <x:f>IF(AND(AB$5&lt;=Cronograma!$G28,AB$5+6&gt;=Cronograma!$F28),IF(Cronograma!$D28="Hito","◆","■"),"")</x:f>
      </x:c>
      <x:c r="AC27" s="79" t="str">
        <x:f>IF(AND(AC$5&lt;=Cronograma!$G28,AC$5+6&gt;=Cronograma!$F28),IF(Cronograma!$D28="Hito","◆","■"),"")</x:f>
      </x:c>
      <x:c r="AD27" s="79" t="str">
        <x:f>IF(AND(AD$5&lt;=Cronograma!$G28,AD$5+6&gt;=Cronograma!$F28),IF(Cronograma!$D28="Hito","◆","■"),"")</x:f>
      </x:c>
      <x:c r="AE27" s="79" t="str">
        <x:f>IF(AND(AE$5&lt;=Cronograma!$G28,AE$5+6&gt;=Cronograma!$F28),IF(Cronograma!$D28="Hito","◆","■"),"")</x:f>
      </x:c>
    </x:row>
    <x:row r="28" ht="25" customHeight="1">
      <x:c r="A28" s="80" t="str">
        <x:f>Cronograma!A29</x:f>
        <x:v>CO-H3</x:v>
      </x:c>
      <x:c r="B28" s="80" t="str">
        <x:f>Cronograma!B29</x:f>
        <x:v>Construcción</x:v>
      </x:c>
      <x:c r="C28" s="80" t="str">
        <x:f>Cronograma!C29</x:f>
        <x:v>Hito: flujo operacional integrado</x:v>
      </x:c>
      <x:c r="D28" s="81" t="n">
        <x:f>Cronograma!F29</x:f>
        <x:v>46416</x:v>
      </x:c>
      <x:c r="E28" s="81" t="n">
        <x:f>Cronograma!G29</x:f>
        <x:v>46416</x:v>
      </x:c>
      <x:c r="F28" s="82" t="n">
        <x:f>Cronograma!H29</x:f>
        <x:v>1</x:v>
      </x:c>
      <x:c r="G28" s="83" t="str">
        <x:f>IF(AND(G$5&lt;=Cronograma!$G29,G$5+6&gt;=Cronograma!$F29),IF(Cronograma!$D29="Hito","◆","■"),"")</x:f>
      </x:c>
      <x:c r="H28" s="83" t="str">
        <x:f>IF(AND(H$5&lt;=Cronograma!$G29,H$5+6&gt;=Cronograma!$F29),IF(Cronograma!$D29="Hito","◆","■"),"")</x:f>
      </x:c>
      <x:c r="I28" s="83" t="str">
        <x:f>IF(AND(I$5&lt;=Cronograma!$G29,I$5+6&gt;=Cronograma!$F29),IF(Cronograma!$D29="Hito","◆","■"),"")</x:f>
      </x:c>
      <x:c r="J28" s="83" t="str">
        <x:f>IF(AND(J$5&lt;=Cronograma!$G29,J$5+6&gt;=Cronograma!$F29),IF(Cronograma!$D29="Hito","◆","■"),"")</x:f>
      </x:c>
      <x:c r="K28" s="83" t="str">
        <x:f>IF(AND(K$5&lt;=Cronograma!$G29,K$5+6&gt;=Cronograma!$F29),IF(Cronograma!$D29="Hito","◆","■"),"")</x:f>
      </x:c>
      <x:c r="L28" s="83" t="str">
        <x:f>IF(AND(L$5&lt;=Cronograma!$G29,L$5+6&gt;=Cronograma!$F29),IF(Cronograma!$D29="Hito","◆","■"),"")</x:f>
      </x:c>
      <x:c r="M28" s="83" t="str">
        <x:f>IF(AND(M$5&lt;=Cronograma!$G29,M$5+6&gt;=Cronograma!$F29),IF(Cronograma!$D29="Hito","◆","■"),"")</x:f>
      </x:c>
      <x:c r="N28" s="83" t="str">
        <x:f>IF(AND(N$5&lt;=Cronograma!$G29,N$5+6&gt;=Cronograma!$F29),IF(Cronograma!$D29="Hito","◆","■"),"")</x:f>
      </x:c>
      <x:c r="O28" s="83" t="str">
        <x:f>IF(AND(O$5&lt;=Cronograma!$G29,O$5+6&gt;=Cronograma!$F29),IF(Cronograma!$D29="Hito","◆","■"),"")</x:f>
      </x:c>
      <x:c r="P28" s="83" t="str">
        <x:f>IF(AND(P$5&lt;=Cronograma!$G29,P$5+6&gt;=Cronograma!$F29),IF(Cronograma!$D29="Hito","◆","■"),"")</x:f>
      </x:c>
      <x:c r="Q28" s="83" t="str">
        <x:f>IF(AND(Q$5&lt;=Cronograma!$G29,Q$5+6&gt;=Cronograma!$F29),IF(Cronograma!$D29="Hito","◆","■"),"")</x:f>
      </x:c>
      <x:c r="R28" s="83" t="str">
        <x:f>IF(AND(R$5&lt;=Cronograma!$G29,R$5+6&gt;=Cronograma!$F29),IF(Cronograma!$D29="Hito","◆","■"),"")</x:f>
      </x:c>
      <x:c r="S28" s="83" t="str">
        <x:f>IF(AND(S$5&lt;=Cronograma!$G29,S$5+6&gt;=Cronograma!$F29),IF(Cronograma!$D29="Hito","◆","■"),"")</x:f>
      </x:c>
      <x:c r="T28" s="83" t="str">
        <x:f>IF(AND(T$5&lt;=Cronograma!$G29,T$5+6&gt;=Cronograma!$F29),IF(Cronograma!$D29="Hito","◆","■"),"")</x:f>
      </x:c>
      <x:c r="U28" s="83" t="str">
        <x:f>IF(AND(U$5&lt;=Cronograma!$G29,U$5+6&gt;=Cronograma!$F29),IF(Cronograma!$D29="Hito","◆","■"),"")</x:f>
      </x:c>
      <x:c r="V28" s="83" t="str">
        <x:f>IF(AND(V$5&lt;=Cronograma!$G29,V$5+6&gt;=Cronograma!$F29),IF(Cronograma!$D29="Hito","◆","■"),"")</x:f>
      </x:c>
      <x:c r="W28" s="83" t="str">
        <x:f>IF(AND(W$5&lt;=Cronograma!$G29,W$5+6&gt;=Cronograma!$F29),IF(Cronograma!$D29="Hito","◆","■"),"")</x:f>
      </x:c>
      <x:c r="X28" s="83" t="str">
        <x:f>IF(AND(X$5&lt;=Cronograma!$G29,X$5+6&gt;=Cronograma!$F29),IF(Cronograma!$D29="Hito","◆","■"),"")</x:f>
      </x:c>
      <x:c r="Y28" s="83" t="str">
        <x:f>IF(AND(Y$5&lt;=Cronograma!$G29,Y$5+6&gt;=Cronograma!$F29),IF(Cronograma!$D29="Hito","◆","■"),"")</x:f>
      </x:c>
      <x:c r="Z28" s="83" t="str">
        <x:f>IF(AND(Z$5&lt;=Cronograma!$G29,Z$5+6&gt;=Cronograma!$F29),IF(Cronograma!$D29="Hito","◆","■"),"")</x:f>
      </x:c>
      <x:c r="AA28" s="83" t="str">
        <x:f>IF(AND(AA$5&lt;=Cronograma!$G29,AA$5+6&gt;=Cronograma!$F29),IF(Cronograma!$D29="Hito","◆","■"),"")</x:f>
        <x:v>◆</x:v>
      </x:c>
      <x:c r="AB28" s="83" t="str">
        <x:f>IF(AND(AB$5&lt;=Cronograma!$G29,AB$5+6&gt;=Cronograma!$F29),IF(Cronograma!$D29="Hito","◆","■"),"")</x:f>
      </x:c>
      <x:c r="AC28" s="83" t="str">
        <x:f>IF(AND(AC$5&lt;=Cronograma!$G29,AC$5+6&gt;=Cronograma!$F29),IF(Cronograma!$D29="Hito","◆","■"),"")</x:f>
      </x:c>
      <x:c r="AD28" s="83" t="str">
        <x:f>IF(AND(AD$5&lt;=Cronograma!$G29,AD$5+6&gt;=Cronograma!$F29),IF(Cronograma!$D29="Hito","◆","■"),"")</x:f>
      </x:c>
      <x:c r="AE28" s="83" t="str">
        <x:f>IF(AND(AE$5&lt;=Cronograma!$G29,AE$5+6&gt;=Cronograma!$F29),IF(Cronograma!$D29="Hito","◆","■"),"")</x:f>
      </x:c>
    </x:row>
    <x:row r="29" ht="25" customHeight="1">
      <x:c r="A29" s="76" t="str">
        <x:f>Cronograma!A30</x:f>
        <x:v>RE-01</x:v>
      </x:c>
      <x:c r="B29" s="76" t="str">
        <x:f>Cronograma!B30</x:f>
        <x:v>Reprtabilidad</x:v>
      </x:c>
      <x:c r="C29" s="76" t="str">
        <x:f>Cronograma!C30</x:f>
        <x:v>Dashboards, reportes y repositorios</x:v>
      </x:c>
      <x:c r="D29" s="77" t="n">
        <x:f>Cronograma!F30</x:f>
        <x:v>46398</x:v>
      </x:c>
      <x:c r="E29" s="77" t="n">
        <x:f>Cronograma!G30</x:f>
        <x:v>46423</x:v>
      </x:c>
      <x:c r="F29" s="78" t="n">
        <x:f>Cronograma!H30</x:f>
        <x:v>26</x:v>
      </x:c>
      <x:c r="G29" s="79" t="str">
        <x:f>IF(AND(G$5&lt;=Cronograma!$G30,G$5+6&gt;=Cronograma!$F30),IF(Cronograma!$D30="Hito","◆","■"),"")</x:f>
      </x:c>
      <x:c r="H29" s="79" t="str">
        <x:f>IF(AND(H$5&lt;=Cronograma!$G30,H$5+6&gt;=Cronograma!$F30),IF(Cronograma!$D30="Hito","◆","■"),"")</x:f>
      </x:c>
      <x:c r="I29" s="79" t="str">
        <x:f>IF(AND(I$5&lt;=Cronograma!$G30,I$5+6&gt;=Cronograma!$F30),IF(Cronograma!$D30="Hito","◆","■"),"")</x:f>
      </x:c>
      <x:c r="J29" s="79" t="str">
        <x:f>IF(AND(J$5&lt;=Cronograma!$G30,J$5+6&gt;=Cronograma!$F30),IF(Cronograma!$D30="Hito","◆","■"),"")</x:f>
      </x:c>
      <x:c r="K29" s="79" t="str">
        <x:f>IF(AND(K$5&lt;=Cronograma!$G30,K$5+6&gt;=Cronograma!$F30),IF(Cronograma!$D30="Hito","◆","■"),"")</x:f>
      </x:c>
      <x:c r="L29" s="79" t="str">
        <x:f>IF(AND(L$5&lt;=Cronograma!$G30,L$5+6&gt;=Cronograma!$F30),IF(Cronograma!$D30="Hito","◆","■"),"")</x:f>
      </x:c>
      <x:c r="M29" s="79" t="str">
        <x:f>IF(AND(M$5&lt;=Cronograma!$G30,M$5+6&gt;=Cronograma!$F30),IF(Cronograma!$D30="Hito","◆","■"),"")</x:f>
      </x:c>
      <x:c r="N29" s="79" t="str">
        <x:f>IF(AND(N$5&lt;=Cronograma!$G30,N$5+6&gt;=Cronograma!$F30),IF(Cronograma!$D30="Hito","◆","■"),"")</x:f>
      </x:c>
      <x:c r="O29" s="79" t="str">
        <x:f>IF(AND(O$5&lt;=Cronograma!$G30,O$5+6&gt;=Cronograma!$F30),IF(Cronograma!$D30="Hito","◆","■"),"")</x:f>
      </x:c>
      <x:c r="P29" s="79" t="str">
        <x:f>IF(AND(P$5&lt;=Cronograma!$G30,P$5+6&gt;=Cronograma!$F30),IF(Cronograma!$D30="Hito","◆","■"),"")</x:f>
      </x:c>
      <x:c r="Q29" s="79" t="str">
        <x:f>IF(AND(Q$5&lt;=Cronograma!$G30,Q$5+6&gt;=Cronograma!$F30),IF(Cronograma!$D30="Hito","◆","■"),"")</x:f>
      </x:c>
      <x:c r="R29" s="79" t="str">
        <x:f>IF(AND(R$5&lt;=Cronograma!$G30,R$5+6&gt;=Cronograma!$F30),IF(Cronograma!$D30="Hito","◆","■"),"")</x:f>
      </x:c>
      <x:c r="S29" s="79" t="str">
        <x:f>IF(AND(S$5&lt;=Cronograma!$G30,S$5+6&gt;=Cronograma!$F30),IF(Cronograma!$D30="Hito","◆","■"),"")</x:f>
      </x:c>
      <x:c r="T29" s="79" t="str">
        <x:f>IF(AND(T$5&lt;=Cronograma!$G30,T$5+6&gt;=Cronograma!$F30),IF(Cronograma!$D30="Hito","◆","■"),"")</x:f>
      </x:c>
      <x:c r="U29" s="79" t="str">
        <x:f>IF(AND(U$5&lt;=Cronograma!$G30,U$5+6&gt;=Cronograma!$F30),IF(Cronograma!$D30="Hito","◆","■"),"")</x:f>
      </x:c>
      <x:c r="V29" s="79" t="str">
        <x:f>IF(AND(V$5&lt;=Cronograma!$G30,V$5+6&gt;=Cronograma!$F30),IF(Cronograma!$D30="Hito","◆","■"),"")</x:f>
      </x:c>
      <x:c r="W29" s="79" t="str">
        <x:f>IF(AND(W$5&lt;=Cronograma!$G30,W$5+6&gt;=Cronograma!$F30),IF(Cronograma!$D30="Hito","◆","■"),"")</x:f>
      </x:c>
      <x:c r="X29" s="79" t="str">
        <x:f>IF(AND(X$5&lt;=Cronograma!$G30,X$5+6&gt;=Cronograma!$F30),IF(Cronograma!$D30="Hito","◆","■"),"")</x:f>
      </x:c>
      <x:c r="Y29" s="79" t="str">
        <x:f>IF(AND(Y$5&lt;=Cronograma!$G30,Y$5+6&gt;=Cronograma!$F30),IF(Cronograma!$D30="Hito","◆","■"),"")</x:f>
        <x:v>■</x:v>
      </x:c>
      <x:c r="Z29" s="79" t="str">
        <x:f>IF(AND(Z$5&lt;=Cronograma!$G30,Z$5+6&gt;=Cronograma!$F30),IF(Cronograma!$D30="Hito","◆","■"),"")</x:f>
        <x:v>■</x:v>
      </x:c>
      <x:c r="AA29" s="79" t="str">
        <x:f>IF(AND(AA$5&lt;=Cronograma!$G30,AA$5+6&gt;=Cronograma!$F30),IF(Cronograma!$D30="Hito","◆","■"),"")</x:f>
        <x:v>■</x:v>
      </x:c>
      <x:c r="AB29" s="79" t="str">
        <x:f>IF(AND(AB$5&lt;=Cronograma!$G30,AB$5+6&gt;=Cronograma!$F30),IF(Cronograma!$D30="Hito","◆","■"),"")</x:f>
        <x:v>■</x:v>
      </x:c>
      <x:c r="AC29" s="79" t="str">
        <x:f>IF(AND(AC$5&lt;=Cronograma!$G30,AC$5+6&gt;=Cronograma!$F30),IF(Cronograma!$D30="Hito","◆","■"),"")</x:f>
      </x:c>
      <x:c r="AD29" s="79" t="str">
        <x:f>IF(AND(AD$5&lt;=Cronograma!$G30,AD$5+6&gt;=Cronograma!$F30),IF(Cronograma!$D30="Hito","◆","■"),"")</x:f>
      </x:c>
      <x:c r="AE29" s="79" t="str">
        <x:f>IF(AND(AE$5&lt;=Cronograma!$G30,AE$5+6&gt;=Cronograma!$F30),IF(Cronograma!$D30="Hito","◆","■"),"")</x:f>
      </x:c>
    </x:row>
    <x:row r="30" ht="25" customHeight="1">
      <x:c r="A30" s="80" t="str">
        <x:f>Cronograma!A31</x:f>
        <x:v>RE-H4</x:v>
      </x:c>
      <x:c r="B30" s="80" t="str">
        <x:f>Cronograma!B31</x:f>
        <x:v>Reprtabilidad</x:v>
      </x:c>
      <x:c r="C30" s="80" t="str">
        <x:f>Cronograma!C31</x:f>
        <x:v>Hito: reportabilidad validada</x:v>
      </x:c>
      <x:c r="D30" s="81" t="n">
        <x:f>Cronograma!F31</x:f>
        <x:v>46423</x:v>
      </x:c>
      <x:c r="E30" s="81" t="n">
        <x:f>Cronograma!G31</x:f>
        <x:v>46423</x:v>
      </x:c>
      <x:c r="F30" s="82" t="n">
        <x:f>Cronograma!H31</x:f>
        <x:v>1</x:v>
      </x:c>
      <x:c r="G30" s="83" t="str">
        <x:f>IF(AND(G$5&lt;=Cronograma!$G31,G$5+6&gt;=Cronograma!$F31),IF(Cronograma!$D31="Hito","◆","■"),"")</x:f>
      </x:c>
      <x:c r="H30" s="83" t="str">
        <x:f>IF(AND(H$5&lt;=Cronograma!$G31,H$5+6&gt;=Cronograma!$F31),IF(Cronograma!$D31="Hito","◆","■"),"")</x:f>
      </x:c>
      <x:c r="I30" s="83" t="str">
        <x:f>IF(AND(I$5&lt;=Cronograma!$G31,I$5+6&gt;=Cronograma!$F31),IF(Cronograma!$D31="Hito","◆","■"),"")</x:f>
      </x:c>
      <x:c r="J30" s="83" t="str">
        <x:f>IF(AND(J$5&lt;=Cronograma!$G31,J$5+6&gt;=Cronograma!$F31),IF(Cronograma!$D31="Hito","◆","■"),"")</x:f>
      </x:c>
      <x:c r="K30" s="83" t="str">
        <x:f>IF(AND(K$5&lt;=Cronograma!$G31,K$5+6&gt;=Cronograma!$F31),IF(Cronograma!$D31="Hito","◆","■"),"")</x:f>
      </x:c>
      <x:c r="L30" s="83" t="str">
        <x:f>IF(AND(L$5&lt;=Cronograma!$G31,L$5+6&gt;=Cronograma!$F31),IF(Cronograma!$D31="Hito","◆","■"),"")</x:f>
      </x:c>
      <x:c r="M30" s="83" t="str">
        <x:f>IF(AND(M$5&lt;=Cronograma!$G31,M$5+6&gt;=Cronograma!$F31),IF(Cronograma!$D31="Hito","◆","■"),"")</x:f>
      </x:c>
      <x:c r="N30" s="83" t="str">
        <x:f>IF(AND(N$5&lt;=Cronograma!$G31,N$5+6&gt;=Cronograma!$F31),IF(Cronograma!$D31="Hito","◆","■"),"")</x:f>
      </x:c>
      <x:c r="O30" s="83" t="str">
        <x:f>IF(AND(O$5&lt;=Cronograma!$G31,O$5+6&gt;=Cronograma!$F31),IF(Cronograma!$D31="Hito","◆","■"),"")</x:f>
      </x:c>
      <x:c r="P30" s="83" t="str">
        <x:f>IF(AND(P$5&lt;=Cronograma!$G31,P$5+6&gt;=Cronograma!$F31),IF(Cronograma!$D31="Hito","◆","■"),"")</x:f>
      </x:c>
      <x:c r="Q30" s="83" t="str">
        <x:f>IF(AND(Q$5&lt;=Cronograma!$G31,Q$5+6&gt;=Cronograma!$F31),IF(Cronograma!$D31="Hito","◆","■"),"")</x:f>
      </x:c>
      <x:c r="R30" s="83" t="str">
        <x:f>IF(AND(R$5&lt;=Cronograma!$G31,R$5+6&gt;=Cronograma!$F31),IF(Cronograma!$D31="Hito","◆","■"),"")</x:f>
      </x:c>
      <x:c r="S30" s="83" t="str">
        <x:f>IF(AND(S$5&lt;=Cronograma!$G31,S$5+6&gt;=Cronograma!$F31),IF(Cronograma!$D31="Hito","◆","■"),"")</x:f>
      </x:c>
      <x:c r="T30" s="83" t="str">
        <x:f>IF(AND(T$5&lt;=Cronograma!$G31,T$5+6&gt;=Cronograma!$F31),IF(Cronograma!$D31="Hito","◆","■"),"")</x:f>
      </x:c>
      <x:c r="U30" s="83" t="str">
        <x:f>IF(AND(U$5&lt;=Cronograma!$G31,U$5+6&gt;=Cronograma!$F31),IF(Cronograma!$D31="Hito","◆","■"),"")</x:f>
      </x:c>
      <x:c r="V30" s="83" t="str">
        <x:f>IF(AND(V$5&lt;=Cronograma!$G31,V$5+6&gt;=Cronograma!$F31),IF(Cronograma!$D31="Hito","◆","■"),"")</x:f>
      </x:c>
      <x:c r="W30" s="83" t="str">
        <x:f>IF(AND(W$5&lt;=Cronograma!$G31,W$5+6&gt;=Cronograma!$F31),IF(Cronograma!$D31="Hito","◆","■"),"")</x:f>
      </x:c>
      <x:c r="X30" s="83" t="str">
        <x:f>IF(AND(X$5&lt;=Cronograma!$G31,X$5+6&gt;=Cronograma!$F31),IF(Cronograma!$D31="Hito","◆","■"),"")</x:f>
      </x:c>
      <x:c r="Y30" s="83" t="str">
        <x:f>IF(AND(Y$5&lt;=Cronograma!$G31,Y$5+6&gt;=Cronograma!$F31),IF(Cronograma!$D31="Hito","◆","■"),"")</x:f>
      </x:c>
      <x:c r="Z30" s="83" t="str">
        <x:f>IF(AND(Z$5&lt;=Cronograma!$G31,Z$5+6&gt;=Cronograma!$F31),IF(Cronograma!$D31="Hito","◆","■"),"")</x:f>
      </x:c>
      <x:c r="AA30" s="83" t="str">
        <x:f>IF(AND(AA$5&lt;=Cronograma!$G31,AA$5+6&gt;=Cronograma!$F31),IF(Cronograma!$D31="Hito","◆","■"),"")</x:f>
      </x:c>
      <x:c r="AB30" s="83" t="str">
        <x:f>IF(AND(AB$5&lt;=Cronograma!$G31,AB$5+6&gt;=Cronograma!$F31),IF(Cronograma!$D31="Hito","◆","■"),"")</x:f>
        <x:v>◆</x:v>
      </x:c>
      <x:c r="AC30" s="83" t="str">
        <x:f>IF(AND(AC$5&lt;=Cronograma!$G31,AC$5+6&gt;=Cronograma!$F31),IF(Cronograma!$D31="Hito","◆","■"),"")</x:f>
      </x:c>
      <x:c r="AD30" s="83" t="str">
        <x:f>IF(AND(AD$5&lt;=Cronograma!$G31,AD$5+6&gt;=Cronograma!$F31),IF(Cronograma!$D31="Hito","◆","■"),"")</x:f>
      </x:c>
      <x:c r="AE30" s="83" t="str">
        <x:f>IF(AND(AE$5&lt;=Cronograma!$G31,AE$5+6&gt;=Cronograma!$F31),IF(Cronograma!$D31="Hito","◆","■"),"")</x:f>
      </x:c>
    </x:row>
    <x:row r="31" ht="25" customHeight="1">
      <x:c r="A31" s="76" t="str">
        <x:f>Cronograma!A32</x:f>
        <x:v>PR-01</x:v>
      </x:c>
      <x:c r="B31" s="76" t="str">
        <x:f>Cronograma!B32</x:f>
        <x:v>Pruebas funcionales y de seguridad</x:v>
      </x:c>
      <x:c r="C31" s="76" t="str">
        <x:f>Cronograma!C32</x:f>
        <x:v>Pruebas unitarias</x:v>
      </x:c>
      <x:c r="D31" s="77" t="n">
        <x:f>Cronograma!F32</x:f>
        <x:v>46314</x:v>
      </x:c>
      <x:c r="E31" s="77" t="n">
        <x:f>Cronograma!G32</x:f>
        <x:v>46416</x:v>
      </x:c>
      <x:c r="F31" s="78" t="n">
        <x:f>Cronograma!H32</x:f>
        <x:v>103</x:v>
      </x:c>
      <x:c r="G31" s="79" t="str">
        <x:f>IF(AND(G$5&lt;=Cronograma!$G32,G$5+6&gt;=Cronograma!$F32),IF(Cronograma!$D32="Hito","◆","■"),"")</x:f>
      </x:c>
      <x:c r="H31" s="79" t="str">
        <x:f>IF(AND(H$5&lt;=Cronograma!$G32,H$5+6&gt;=Cronograma!$F32),IF(Cronograma!$D32="Hito","◆","■"),"")</x:f>
      </x:c>
      <x:c r="I31" s="79" t="str">
        <x:f>IF(AND(I$5&lt;=Cronograma!$G32,I$5+6&gt;=Cronograma!$F32),IF(Cronograma!$D32="Hito","◆","■"),"")</x:f>
      </x:c>
      <x:c r="J31" s="79" t="str">
        <x:f>IF(AND(J$5&lt;=Cronograma!$G32,J$5+6&gt;=Cronograma!$F32),IF(Cronograma!$D32="Hito","◆","■"),"")</x:f>
      </x:c>
      <x:c r="K31" s="79" t="str">
        <x:f>IF(AND(K$5&lt;=Cronograma!$G32,K$5+6&gt;=Cronograma!$F32),IF(Cronograma!$D32="Hito","◆","■"),"")</x:f>
      </x:c>
      <x:c r="L31" s="79" t="str">
        <x:f>IF(AND(L$5&lt;=Cronograma!$G32,L$5+6&gt;=Cronograma!$F32),IF(Cronograma!$D32="Hito","◆","■"),"")</x:f>
      </x:c>
      <x:c r="M31" s="79" t="str">
        <x:f>IF(AND(M$5&lt;=Cronograma!$G32,M$5+6&gt;=Cronograma!$F32),IF(Cronograma!$D32="Hito","◆","■"),"")</x:f>
        <x:v>■</x:v>
      </x:c>
      <x:c r="N31" s="79" t="str">
        <x:f>IF(AND(N$5&lt;=Cronograma!$G32,N$5+6&gt;=Cronograma!$F32),IF(Cronograma!$D32="Hito","◆","■"),"")</x:f>
        <x:v>■</x:v>
      </x:c>
      <x:c r="O31" s="79" t="str">
        <x:f>IF(AND(O$5&lt;=Cronograma!$G32,O$5+6&gt;=Cronograma!$F32),IF(Cronograma!$D32="Hito","◆","■"),"")</x:f>
        <x:v>■</x:v>
      </x:c>
      <x:c r="P31" s="79" t="str">
        <x:f>IF(AND(P$5&lt;=Cronograma!$G32,P$5+6&gt;=Cronograma!$F32),IF(Cronograma!$D32="Hito","◆","■"),"")</x:f>
        <x:v>■</x:v>
      </x:c>
      <x:c r="Q31" s="79" t="str">
        <x:f>IF(AND(Q$5&lt;=Cronograma!$G32,Q$5+6&gt;=Cronograma!$F32),IF(Cronograma!$D32="Hito","◆","■"),"")</x:f>
        <x:v>■</x:v>
      </x:c>
      <x:c r="R31" s="79" t="str">
        <x:f>IF(AND(R$5&lt;=Cronograma!$G32,R$5+6&gt;=Cronograma!$F32),IF(Cronograma!$D32="Hito","◆","■"),"")</x:f>
        <x:v>■</x:v>
      </x:c>
      <x:c r="S31" s="79" t="str">
        <x:f>IF(AND(S$5&lt;=Cronograma!$G32,S$5+6&gt;=Cronograma!$F32),IF(Cronograma!$D32="Hito","◆","■"),"")</x:f>
        <x:v>■</x:v>
      </x:c>
      <x:c r="T31" s="79" t="str">
        <x:f>IF(AND(T$5&lt;=Cronograma!$G32,T$5+6&gt;=Cronograma!$F32),IF(Cronograma!$D32="Hito","◆","■"),"")</x:f>
        <x:v>■</x:v>
      </x:c>
      <x:c r="U31" s="79" t="str">
        <x:f>IF(AND(U$5&lt;=Cronograma!$G32,U$5+6&gt;=Cronograma!$F32),IF(Cronograma!$D32="Hito","◆","■"),"")</x:f>
        <x:v>■</x:v>
      </x:c>
      <x:c r="V31" s="79" t="str">
        <x:f>IF(AND(V$5&lt;=Cronograma!$G32,V$5+6&gt;=Cronograma!$F32),IF(Cronograma!$D32="Hito","◆","■"),"")</x:f>
        <x:v>■</x:v>
      </x:c>
      <x:c r="W31" s="79" t="str">
        <x:f>IF(AND(W$5&lt;=Cronograma!$G32,W$5+6&gt;=Cronograma!$F32),IF(Cronograma!$D32="Hito","◆","■"),"")</x:f>
        <x:v>■</x:v>
      </x:c>
      <x:c r="X31" s="79" t="str">
        <x:f>IF(AND(X$5&lt;=Cronograma!$G32,X$5+6&gt;=Cronograma!$F32),IF(Cronograma!$D32="Hito","◆","■"),"")</x:f>
        <x:v>■</x:v>
      </x:c>
      <x:c r="Y31" s="79" t="str">
        <x:f>IF(AND(Y$5&lt;=Cronograma!$G32,Y$5+6&gt;=Cronograma!$F32),IF(Cronograma!$D32="Hito","◆","■"),"")</x:f>
        <x:v>■</x:v>
      </x:c>
      <x:c r="Z31" s="79" t="str">
        <x:f>IF(AND(Z$5&lt;=Cronograma!$G32,Z$5+6&gt;=Cronograma!$F32),IF(Cronograma!$D32="Hito","◆","■"),"")</x:f>
        <x:v>■</x:v>
      </x:c>
      <x:c r="AA31" s="79" t="str">
        <x:f>IF(AND(AA$5&lt;=Cronograma!$G32,AA$5+6&gt;=Cronograma!$F32),IF(Cronograma!$D32="Hito","◆","■"),"")</x:f>
        <x:v>■</x:v>
      </x:c>
      <x:c r="AB31" s="79" t="str">
        <x:f>IF(AND(AB$5&lt;=Cronograma!$G32,AB$5+6&gt;=Cronograma!$F32),IF(Cronograma!$D32="Hito","◆","■"),"")</x:f>
      </x:c>
      <x:c r="AC31" s="79" t="str">
        <x:f>IF(AND(AC$5&lt;=Cronograma!$G32,AC$5+6&gt;=Cronograma!$F32),IF(Cronograma!$D32="Hito","◆","■"),"")</x:f>
      </x:c>
      <x:c r="AD31" s="79" t="str">
        <x:f>IF(AND(AD$5&lt;=Cronograma!$G32,AD$5+6&gt;=Cronograma!$F32),IF(Cronograma!$D32="Hito","◆","■"),"")</x:f>
      </x:c>
      <x:c r="AE31" s="79" t="str">
        <x:f>IF(AND(AE$5&lt;=Cronograma!$G32,AE$5+6&gt;=Cronograma!$F32),IF(Cronograma!$D32="Hito","◆","■"),"")</x:f>
      </x:c>
    </x:row>
    <x:row r="32" ht="25" customHeight="1">
      <x:c r="A32" s="76" t="str">
        <x:f>Cronograma!A33</x:f>
        <x:v>PR-02</x:v>
      </x:c>
      <x:c r="B32" s="76" t="str">
        <x:f>Cronograma!B33</x:f>
        <x:v>Pruebas funcionales y de seguridad</x:v>
      </x:c>
      <x:c r="C32" s="76" t="str">
        <x:f>Cronograma!C33</x:f>
        <x:v>Pruebas de integración</x:v>
      </x:c>
      <x:c r="D32" s="77" t="n">
        <x:f>Cronograma!F33</x:f>
        <x:v>46335</x:v>
      </x:c>
      <x:c r="E32" s="77" t="n">
        <x:f>Cronograma!G33</x:f>
        <x:v>46423</x:v>
      </x:c>
      <x:c r="F32" s="78" t="n">
        <x:f>Cronograma!H33</x:f>
        <x:v>89</x:v>
      </x:c>
      <x:c r="G32" s="79" t="str">
        <x:f>IF(AND(G$5&lt;=Cronograma!$G33,G$5+6&gt;=Cronograma!$F33),IF(Cronograma!$D33="Hito","◆","■"),"")</x:f>
      </x:c>
      <x:c r="H32" s="79" t="str">
        <x:f>IF(AND(H$5&lt;=Cronograma!$G33,H$5+6&gt;=Cronograma!$F33),IF(Cronograma!$D33="Hito","◆","■"),"")</x:f>
      </x:c>
      <x:c r="I32" s="79" t="str">
        <x:f>IF(AND(I$5&lt;=Cronograma!$G33,I$5+6&gt;=Cronograma!$F33),IF(Cronograma!$D33="Hito","◆","■"),"")</x:f>
      </x:c>
      <x:c r="J32" s="79" t="str">
        <x:f>IF(AND(J$5&lt;=Cronograma!$G33,J$5+6&gt;=Cronograma!$F33),IF(Cronograma!$D33="Hito","◆","■"),"")</x:f>
      </x:c>
      <x:c r="K32" s="79" t="str">
        <x:f>IF(AND(K$5&lt;=Cronograma!$G33,K$5+6&gt;=Cronograma!$F33),IF(Cronograma!$D33="Hito","◆","■"),"")</x:f>
      </x:c>
      <x:c r="L32" s="79" t="str">
        <x:f>IF(AND(L$5&lt;=Cronograma!$G33,L$5+6&gt;=Cronograma!$F33),IF(Cronograma!$D33="Hito","◆","■"),"")</x:f>
      </x:c>
      <x:c r="M32" s="79" t="str">
        <x:f>IF(AND(M$5&lt;=Cronograma!$G33,M$5+6&gt;=Cronograma!$F33),IF(Cronograma!$D33="Hito","◆","■"),"")</x:f>
      </x:c>
      <x:c r="N32" s="79" t="str">
        <x:f>IF(AND(N$5&lt;=Cronograma!$G33,N$5+6&gt;=Cronograma!$F33),IF(Cronograma!$D33="Hito","◆","■"),"")</x:f>
      </x:c>
      <x:c r="O32" s="79" t="str">
        <x:f>IF(AND(O$5&lt;=Cronograma!$G33,O$5+6&gt;=Cronograma!$F33),IF(Cronograma!$D33="Hito","◆","■"),"")</x:f>
      </x:c>
      <x:c r="P32" s="79" t="str">
        <x:f>IF(AND(P$5&lt;=Cronograma!$G33,P$5+6&gt;=Cronograma!$F33),IF(Cronograma!$D33="Hito","◆","■"),"")</x:f>
        <x:v>■</x:v>
      </x:c>
      <x:c r="Q32" s="79" t="str">
        <x:f>IF(AND(Q$5&lt;=Cronograma!$G33,Q$5+6&gt;=Cronograma!$F33),IF(Cronograma!$D33="Hito","◆","■"),"")</x:f>
        <x:v>■</x:v>
      </x:c>
      <x:c r="R32" s="79" t="str">
        <x:f>IF(AND(R$5&lt;=Cronograma!$G33,R$5+6&gt;=Cronograma!$F33),IF(Cronograma!$D33="Hito","◆","■"),"")</x:f>
        <x:v>■</x:v>
      </x:c>
      <x:c r="S32" s="79" t="str">
        <x:f>IF(AND(S$5&lt;=Cronograma!$G33,S$5+6&gt;=Cronograma!$F33),IF(Cronograma!$D33="Hito","◆","■"),"")</x:f>
        <x:v>■</x:v>
      </x:c>
      <x:c r="T32" s="79" t="str">
        <x:f>IF(AND(T$5&lt;=Cronograma!$G33,T$5+6&gt;=Cronograma!$F33),IF(Cronograma!$D33="Hito","◆","■"),"")</x:f>
        <x:v>■</x:v>
      </x:c>
      <x:c r="U32" s="79" t="str">
        <x:f>IF(AND(U$5&lt;=Cronograma!$G33,U$5+6&gt;=Cronograma!$F33),IF(Cronograma!$D33="Hito","◆","■"),"")</x:f>
        <x:v>■</x:v>
      </x:c>
      <x:c r="V32" s="79" t="str">
        <x:f>IF(AND(V$5&lt;=Cronograma!$G33,V$5+6&gt;=Cronograma!$F33),IF(Cronograma!$D33="Hito","◆","■"),"")</x:f>
        <x:v>■</x:v>
      </x:c>
      <x:c r="W32" s="79" t="str">
        <x:f>IF(AND(W$5&lt;=Cronograma!$G33,W$5+6&gt;=Cronograma!$F33),IF(Cronograma!$D33="Hito","◆","■"),"")</x:f>
        <x:v>■</x:v>
      </x:c>
      <x:c r="X32" s="79" t="str">
        <x:f>IF(AND(X$5&lt;=Cronograma!$G33,X$5+6&gt;=Cronograma!$F33),IF(Cronograma!$D33="Hito","◆","■"),"")</x:f>
        <x:v>■</x:v>
      </x:c>
      <x:c r="Y32" s="79" t="str">
        <x:f>IF(AND(Y$5&lt;=Cronograma!$G33,Y$5+6&gt;=Cronograma!$F33),IF(Cronograma!$D33="Hito","◆","■"),"")</x:f>
        <x:v>■</x:v>
      </x:c>
      <x:c r="Z32" s="79" t="str">
        <x:f>IF(AND(Z$5&lt;=Cronograma!$G33,Z$5+6&gt;=Cronograma!$F33),IF(Cronograma!$D33="Hito","◆","■"),"")</x:f>
        <x:v>■</x:v>
      </x:c>
      <x:c r="AA32" s="79" t="str">
        <x:f>IF(AND(AA$5&lt;=Cronograma!$G33,AA$5+6&gt;=Cronograma!$F33),IF(Cronograma!$D33="Hito","◆","■"),"")</x:f>
        <x:v>■</x:v>
      </x:c>
      <x:c r="AB32" s="79" t="str">
        <x:f>IF(AND(AB$5&lt;=Cronograma!$G33,AB$5+6&gt;=Cronograma!$F33),IF(Cronograma!$D33="Hito","◆","■"),"")</x:f>
        <x:v>■</x:v>
      </x:c>
      <x:c r="AC32" s="79" t="str">
        <x:f>IF(AND(AC$5&lt;=Cronograma!$G33,AC$5+6&gt;=Cronograma!$F33),IF(Cronograma!$D33="Hito","◆","■"),"")</x:f>
      </x:c>
      <x:c r="AD32" s="79" t="str">
        <x:f>IF(AND(AD$5&lt;=Cronograma!$G33,AD$5+6&gt;=Cronograma!$F33),IF(Cronograma!$D33="Hito","◆","■"),"")</x:f>
      </x:c>
      <x:c r="AE32" s="79" t="str">
        <x:f>IF(AND(AE$5&lt;=Cronograma!$G33,AE$5+6&gt;=Cronograma!$F33),IF(Cronograma!$D33="Hito","◆","■"),"")</x:f>
      </x:c>
    </x:row>
    <x:row r="33" ht="25" customHeight="1">
      <x:c r="A33" s="76" t="str">
        <x:f>Cronograma!A34</x:f>
        <x:v>PR-03</x:v>
      </x:c>
      <x:c r="B33" s="76" t="str">
        <x:f>Cronograma!B34</x:f>
        <x:v>Pruebas funcionales y de seguridad</x:v>
      </x:c>
      <x:c r="C33" s="76" t="str">
        <x:f>Cronograma!C34</x:f>
        <x:v>Pruebas funcionales</x:v>
      </x:c>
      <x:c r="D33" s="77" t="n">
        <x:f>Cronograma!F34</x:f>
        <x:v>46412</x:v>
      </x:c>
      <x:c r="E33" s="77" t="n">
        <x:f>Cronograma!G34</x:f>
        <x:v>46430</x:v>
      </x:c>
      <x:c r="F33" s="78" t="n">
        <x:f>Cronograma!H34</x:f>
        <x:v>19</x:v>
      </x:c>
      <x:c r="G33" s="79" t="str">
        <x:f>IF(AND(G$5&lt;=Cronograma!$G34,G$5+6&gt;=Cronograma!$F34),IF(Cronograma!$D34="Hito","◆","■"),"")</x:f>
      </x:c>
      <x:c r="H33" s="79" t="str">
        <x:f>IF(AND(H$5&lt;=Cronograma!$G34,H$5+6&gt;=Cronograma!$F34),IF(Cronograma!$D34="Hito","◆","■"),"")</x:f>
      </x:c>
      <x:c r="I33" s="79" t="str">
        <x:f>IF(AND(I$5&lt;=Cronograma!$G34,I$5+6&gt;=Cronograma!$F34),IF(Cronograma!$D34="Hito","◆","■"),"")</x:f>
      </x:c>
      <x:c r="J33" s="79" t="str">
        <x:f>IF(AND(J$5&lt;=Cronograma!$G34,J$5+6&gt;=Cronograma!$F34),IF(Cronograma!$D34="Hito","◆","■"),"")</x:f>
      </x:c>
      <x:c r="K33" s="79" t="str">
        <x:f>IF(AND(K$5&lt;=Cronograma!$G34,K$5+6&gt;=Cronograma!$F34),IF(Cronograma!$D34="Hito","◆","■"),"")</x:f>
      </x:c>
      <x:c r="L33" s="79" t="str">
        <x:f>IF(AND(L$5&lt;=Cronograma!$G34,L$5+6&gt;=Cronograma!$F34),IF(Cronograma!$D34="Hito","◆","■"),"")</x:f>
      </x:c>
      <x:c r="M33" s="79" t="str">
        <x:f>IF(AND(M$5&lt;=Cronograma!$G34,M$5+6&gt;=Cronograma!$F34),IF(Cronograma!$D34="Hito","◆","■"),"")</x:f>
      </x:c>
      <x:c r="N33" s="79" t="str">
        <x:f>IF(AND(N$5&lt;=Cronograma!$G34,N$5+6&gt;=Cronograma!$F34),IF(Cronograma!$D34="Hito","◆","■"),"")</x:f>
      </x:c>
      <x:c r="O33" s="79" t="str">
        <x:f>IF(AND(O$5&lt;=Cronograma!$G34,O$5+6&gt;=Cronograma!$F34),IF(Cronograma!$D34="Hito","◆","■"),"")</x:f>
      </x:c>
      <x:c r="P33" s="79" t="str">
        <x:f>IF(AND(P$5&lt;=Cronograma!$G34,P$5+6&gt;=Cronograma!$F34),IF(Cronograma!$D34="Hito","◆","■"),"")</x:f>
      </x:c>
      <x:c r="Q33" s="79" t="str">
        <x:f>IF(AND(Q$5&lt;=Cronograma!$G34,Q$5+6&gt;=Cronograma!$F34),IF(Cronograma!$D34="Hito","◆","■"),"")</x:f>
      </x:c>
      <x:c r="R33" s="79" t="str">
        <x:f>IF(AND(R$5&lt;=Cronograma!$G34,R$5+6&gt;=Cronograma!$F34),IF(Cronograma!$D34="Hito","◆","■"),"")</x:f>
      </x:c>
      <x:c r="S33" s="79" t="str">
        <x:f>IF(AND(S$5&lt;=Cronograma!$G34,S$5+6&gt;=Cronograma!$F34),IF(Cronograma!$D34="Hito","◆","■"),"")</x:f>
      </x:c>
      <x:c r="T33" s="79" t="str">
        <x:f>IF(AND(T$5&lt;=Cronograma!$G34,T$5+6&gt;=Cronograma!$F34),IF(Cronograma!$D34="Hito","◆","■"),"")</x:f>
      </x:c>
      <x:c r="U33" s="79" t="str">
        <x:f>IF(AND(U$5&lt;=Cronograma!$G34,U$5+6&gt;=Cronograma!$F34),IF(Cronograma!$D34="Hito","◆","■"),"")</x:f>
      </x:c>
      <x:c r="V33" s="79" t="str">
        <x:f>IF(AND(V$5&lt;=Cronograma!$G34,V$5+6&gt;=Cronograma!$F34),IF(Cronograma!$D34="Hito","◆","■"),"")</x:f>
      </x:c>
      <x:c r="W33" s="79" t="str">
        <x:f>IF(AND(W$5&lt;=Cronograma!$G34,W$5+6&gt;=Cronograma!$F34),IF(Cronograma!$D34="Hito","◆","■"),"")</x:f>
      </x:c>
      <x:c r="X33" s="79" t="str">
        <x:f>IF(AND(X$5&lt;=Cronograma!$G34,X$5+6&gt;=Cronograma!$F34),IF(Cronograma!$D34="Hito","◆","■"),"")</x:f>
      </x:c>
      <x:c r="Y33" s="79" t="str">
        <x:f>IF(AND(Y$5&lt;=Cronograma!$G34,Y$5+6&gt;=Cronograma!$F34),IF(Cronograma!$D34="Hito","◆","■"),"")</x:f>
      </x:c>
      <x:c r="Z33" s="79" t="str">
        <x:f>IF(AND(Z$5&lt;=Cronograma!$G34,Z$5+6&gt;=Cronograma!$F34),IF(Cronograma!$D34="Hito","◆","■"),"")</x:f>
      </x:c>
      <x:c r="AA33" s="79" t="str">
        <x:f>IF(AND(AA$5&lt;=Cronograma!$G34,AA$5+6&gt;=Cronograma!$F34),IF(Cronograma!$D34="Hito","◆","■"),"")</x:f>
        <x:v>■</x:v>
      </x:c>
      <x:c r="AB33" s="79" t="str">
        <x:f>IF(AND(AB$5&lt;=Cronograma!$G34,AB$5+6&gt;=Cronograma!$F34),IF(Cronograma!$D34="Hito","◆","■"),"")</x:f>
        <x:v>■</x:v>
      </x:c>
      <x:c r="AC33" s="79" t="str">
        <x:f>IF(AND(AC$5&lt;=Cronograma!$G34,AC$5+6&gt;=Cronograma!$F34),IF(Cronograma!$D34="Hito","◆","■"),"")</x:f>
        <x:v>■</x:v>
      </x:c>
      <x:c r="AD33" s="79" t="str">
        <x:f>IF(AND(AD$5&lt;=Cronograma!$G34,AD$5+6&gt;=Cronograma!$F34),IF(Cronograma!$D34="Hito","◆","■"),"")</x:f>
      </x:c>
      <x:c r="AE33" s="79" t="str">
        <x:f>IF(AND(AE$5&lt;=Cronograma!$G34,AE$5+6&gt;=Cronograma!$F34),IF(Cronograma!$D34="Hito","◆","■"),"")</x:f>
      </x:c>
    </x:row>
    <x:row r="34" ht="25" customHeight="1">
      <x:c r="A34" s="80" t="str">
        <x:f>Cronograma!A35</x:f>
        <x:v>PR-H5</x:v>
      </x:c>
      <x:c r="B34" s="80" t="str">
        <x:f>Cronograma!B35</x:f>
        <x:v>Pruebas funcionales y de seguridad</x:v>
      </x:c>
      <x:c r="C34" s="80" t="str">
        <x:f>Cronograma!C35</x:f>
        <x:v>Hito: versión candidata aprobada</x:v>
      </x:c>
      <x:c r="D34" s="81" t="n">
        <x:f>Cronograma!F35</x:f>
        <x:v>46430</x:v>
      </x:c>
      <x:c r="E34" s="81" t="n">
        <x:f>Cronograma!G35</x:f>
        <x:v>46430</x:v>
      </x:c>
      <x:c r="F34" s="82" t="n">
        <x:f>Cronograma!H35</x:f>
        <x:v>1</x:v>
      </x:c>
      <x:c r="G34" s="83" t="str">
        <x:f>IF(AND(G$5&lt;=Cronograma!$G35,G$5+6&gt;=Cronograma!$F35),IF(Cronograma!$D35="Hito","◆","■"),"")</x:f>
      </x:c>
      <x:c r="H34" s="83" t="str">
        <x:f>IF(AND(H$5&lt;=Cronograma!$G35,H$5+6&gt;=Cronograma!$F35),IF(Cronograma!$D35="Hito","◆","■"),"")</x:f>
      </x:c>
      <x:c r="I34" s="83" t="str">
        <x:f>IF(AND(I$5&lt;=Cronograma!$G35,I$5+6&gt;=Cronograma!$F35),IF(Cronograma!$D35="Hito","◆","■"),"")</x:f>
      </x:c>
      <x:c r="J34" s="83" t="str">
        <x:f>IF(AND(J$5&lt;=Cronograma!$G35,J$5+6&gt;=Cronograma!$F35),IF(Cronograma!$D35="Hito","◆","■"),"")</x:f>
      </x:c>
      <x:c r="K34" s="83" t="str">
        <x:f>IF(AND(K$5&lt;=Cronograma!$G35,K$5+6&gt;=Cronograma!$F35),IF(Cronograma!$D35="Hito","◆","■"),"")</x:f>
      </x:c>
      <x:c r="L34" s="83" t="str">
        <x:f>IF(AND(L$5&lt;=Cronograma!$G35,L$5+6&gt;=Cronograma!$F35),IF(Cronograma!$D35="Hito","◆","■"),"")</x:f>
      </x:c>
      <x:c r="M34" s="83" t="str">
        <x:f>IF(AND(M$5&lt;=Cronograma!$G35,M$5+6&gt;=Cronograma!$F35),IF(Cronograma!$D35="Hito","◆","■"),"")</x:f>
      </x:c>
      <x:c r="N34" s="83" t="str">
        <x:f>IF(AND(N$5&lt;=Cronograma!$G35,N$5+6&gt;=Cronograma!$F35),IF(Cronograma!$D35="Hito","◆","■"),"")</x:f>
      </x:c>
      <x:c r="O34" s="83" t="str">
        <x:f>IF(AND(O$5&lt;=Cronograma!$G35,O$5+6&gt;=Cronograma!$F35),IF(Cronograma!$D35="Hito","◆","■"),"")</x:f>
      </x:c>
      <x:c r="P34" s="83" t="str">
        <x:f>IF(AND(P$5&lt;=Cronograma!$G35,P$5+6&gt;=Cronograma!$F35),IF(Cronograma!$D35="Hito","◆","■"),"")</x:f>
      </x:c>
      <x:c r="Q34" s="83" t="str">
        <x:f>IF(AND(Q$5&lt;=Cronograma!$G35,Q$5+6&gt;=Cronograma!$F35),IF(Cronograma!$D35="Hito","◆","■"),"")</x:f>
      </x:c>
      <x:c r="R34" s="83" t="str">
        <x:f>IF(AND(R$5&lt;=Cronograma!$G35,R$5+6&gt;=Cronograma!$F35),IF(Cronograma!$D35="Hito","◆","■"),"")</x:f>
      </x:c>
      <x:c r="S34" s="83" t="str">
        <x:f>IF(AND(S$5&lt;=Cronograma!$G35,S$5+6&gt;=Cronograma!$F35),IF(Cronograma!$D35="Hito","◆","■"),"")</x:f>
      </x:c>
      <x:c r="T34" s="83" t="str">
        <x:f>IF(AND(T$5&lt;=Cronograma!$G35,T$5+6&gt;=Cronograma!$F35),IF(Cronograma!$D35="Hito","◆","■"),"")</x:f>
      </x:c>
      <x:c r="U34" s="83" t="str">
        <x:f>IF(AND(U$5&lt;=Cronograma!$G35,U$5+6&gt;=Cronograma!$F35),IF(Cronograma!$D35="Hito","◆","■"),"")</x:f>
      </x:c>
      <x:c r="V34" s="83" t="str">
        <x:f>IF(AND(V$5&lt;=Cronograma!$G35,V$5+6&gt;=Cronograma!$F35),IF(Cronograma!$D35="Hito","◆","■"),"")</x:f>
      </x:c>
      <x:c r="W34" s="83" t="str">
        <x:f>IF(AND(W$5&lt;=Cronograma!$G35,W$5+6&gt;=Cronograma!$F35),IF(Cronograma!$D35="Hito","◆","■"),"")</x:f>
      </x:c>
      <x:c r="X34" s="83" t="str">
        <x:f>IF(AND(X$5&lt;=Cronograma!$G35,X$5+6&gt;=Cronograma!$F35),IF(Cronograma!$D35="Hito","◆","■"),"")</x:f>
      </x:c>
      <x:c r="Y34" s="83" t="str">
        <x:f>IF(AND(Y$5&lt;=Cronograma!$G35,Y$5+6&gt;=Cronograma!$F35),IF(Cronograma!$D35="Hito","◆","■"),"")</x:f>
      </x:c>
      <x:c r="Z34" s="83" t="str">
        <x:f>IF(AND(Z$5&lt;=Cronograma!$G35,Z$5+6&gt;=Cronograma!$F35),IF(Cronograma!$D35="Hito","◆","■"),"")</x:f>
      </x:c>
      <x:c r="AA34" s="83" t="str">
        <x:f>IF(AND(AA$5&lt;=Cronograma!$G35,AA$5+6&gt;=Cronograma!$F35),IF(Cronograma!$D35="Hito","◆","■"),"")</x:f>
      </x:c>
      <x:c r="AB34" s="83" t="str">
        <x:f>IF(AND(AB$5&lt;=Cronograma!$G35,AB$5+6&gt;=Cronograma!$F35),IF(Cronograma!$D35="Hito","◆","■"),"")</x:f>
      </x:c>
      <x:c r="AC34" s="83" t="str">
        <x:f>IF(AND(AC$5&lt;=Cronograma!$G35,AC$5+6&gt;=Cronograma!$F35),IF(Cronograma!$D35="Hito","◆","■"),"")</x:f>
        <x:v>◆</x:v>
      </x:c>
      <x:c r="AD34" s="83" t="str">
        <x:f>IF(AND(AD$5&lt;=Cronograma!$G35,AD$5+6&gt;=Cronograma!$F35),IF(Cronograma!$D35="Hito","◆","■"),"")</x:f>
      </x:c>
      <x:c r="AE34" s="83" t="str">
        <x:f>IF(AND(AE$5&lt;=Cronograma!$G35,AE$5+6&gt;=Cronograma!$F35),IF(Cronograma!$D35="Hito","◆","■"),"")</x:f>
      </x:c>
    </x:row>
    <x:row r="35" ht="25" customHeight="1">
      <x:c r="A35" s="76" t="str">
        <x:f>Cronograma!A36</x:f>
        <x:v>QA-01</x:v>
      </x:c>
      <x:c r="B35" s="76" t="str">
        <x:f>Cronograma!B36</x:f>
        <x:v>Despliegue en ambiente QA</x:v>
      </x:c>
      <x:c r="C35" s="76" t="str">
        <x:f>Cronograma!C36</x:f>
        <x:v>Despliegue en ambiente QA</x:v>
      </x:c>
      <x:c r="D35" s="77" t="n">
        <x:f>Cronograma!F36</x:f>
        <x:v>46419</x:v>
      </x:c>
      <x:c r="E35" s="77" t="n">
        <x:f>Cronograma!G36</x:f>
        <x:v>46421</x:v>
      </x:c>
      <x:c r="F35" s="78" t="n">
        <x:f>Cronograma!H36</x:f>
        <x:v>3</x:v>
      </x:c>
      <x:c r="G35" s="79" t="str">
        <x:f>IF(AND(G$5&lt;=Cronograma!$G36,G$5+6&gt;=Cronograma!$F36),IF(Cronograma!$D36="Hito","◆","■"),"")</x:f>
      </x:c>
      <x:c r="H35" s="79" t="str">
        <x:f>IF(AND(H$5&lt;=Cronograma!$G36,H$5+6&gt;=Cronograma!$F36),IF(Cronograma!$D36="Hito","◆","■"),"")</x:f>
      </x:c>
      <x:c r="I35" s="79" t="str">
        <x:f>IF(AND(I$5&lt;=Cronograma!$G36,I$5+6&gt;=Cronograma!$F36),IF(Cronograma!$D36="Hito","◆","■"),"")</x:f>
      </x:c>
      <x:c r="J35" s="79" t="str">
        <x:f>IF(AND(J$5&lt;=Cronograma!$G36,J$5+6&gt;=Cronograma!$F36),IF(Cronograma!$D36="Hito","◆","■"),"")</x:f>
      </x:c>
      <x:c r="K35" s="79" t="str">
        <x:f>IF(AND(K$5&lt;=Cronograma!$G36,K$5+6&gt;=Cronograma!$F36),IF(Cronograma!$D36="Hito","◆","■"),"")</x:f>
      </x:c>
      <x:c r="L35" s="79" t="str">
        <x:f>IF(AND(L$5&lt;=Cronograma!$G36,L$5+6&gt;=Cronograma!$F36),IF(Cronograma!$D36="Hito","◆","■"),"")</x:f>
      </x:c>
      <x:c r="M35" s="79" t="str">
        <x:f>IF(AND(M$5&lt;=Cronograma!$G36,M$5+6&gt;=Cronograma!$F36),IF(Cronograma!$D36="Hito","◆","■"),"")</x:f>
      </x:c>
      <x:c r="N35" s="79" t="str">
        <x:f>IF(AND(N$5&lt;=Cronograma!$G36,N$5+6&gt;=Cronograma!$F36),IF(Cronograma!$D36="Hito","◆","■"),"")</x:f>
      </x:c>
      <x:c r="O35" s="79" t="str">
        <x:f>IF(AND(O$5&lt;=Cronograma!$G36,O$5+6&gt;=Cronograma!$F36),IF(Cronograma!$D36="Hito","◆","■"),"")</x:f>
      </x:c>
      <x:c r="P35" s="79" t="str">
        <x:f>IF(AND(P$5&lt;=Cronograma!$G36,P$5+6&gt;=Cronograma!$F36),IF(Cronograma!$D36="Hito","◆","■"),"")</x:f>
      </x:c>
      <x:c r="Q35" s="79" t="str">
        <x:f>IF(AND(Q$5&lt;=Cronograma!$G36,Q$5+6&gt;=Cronograma!$F36),IF(Cronograma!$D36="Hito","◆","■"),"")</x:f>
      </x:c>
      <x:c r="R35" s="79" t="str">
        <x:f>IF(AND(R$5&lt;=Cronograma!$G36,R$5+6&gt;=Cronograma!$F36),IF(Cronograma!$D36="Hito","◆","■"),"")</x:f>
      </x:c>
      <x:c r="S35" s="79" t="str">
        <x:f>IF(AND(S$5&lt;=Cronograma!$G36,S$5+6&gt;=Cronograma!$F36),IF(Cronograma!$D36="Hito","◆","■"),"")</x:f>
      </x:c>
      <x:c r="T35" s="79" t="str">
        <x:f>IF(AND(T$5&lt;=Cronograma!$G36,T$5+6&gt;=Cronograma!$F36),IF(Cronograma!$D36="Hito","◆","■"),"")</x:f>
      </x:c>
      <x:c r="U35" s="79" t="str">
        <x:f>IF(AND(U$5&lt;=Cronograma!$G36,U$5+6&gt;=Cronograma!$F36),IF(Cronograma!$D36="Hito","◆","■"),"")</x:f>
      </x:c>
      <x:c r="V35" s="79" t="str">
        <x:f>IF(AND(V$5&lt;=Cronograma!$G36,V$5+6&gt;=Cronograma!$F36),IF(Cronograma!$D36="Hito","◆","■"),"")</x:f>
      </x:c>
      <x:c r="W35" s="79" t="str">
        <x:f>IF(AND(W$5&lt;=Cronograma!$G36,W$5+6&gt;=Cronograma!$F36),IF(Cronograma!$D36="Hito","◆","■"),"")</x:f>
      </x:c>
      <x:c r="X35" s="79" t="str">
        <x:f>IF(AND(X$5&lt;=Cronograma!$G36,X$5+6&gt;=Cronograma!$F36),IF(Cronograma!$D36="Hito","◆","■"),"")</x:f>
      </x:c>
      <x:c r="Y35" s="79" t="str">
        <x:f>IF(AND(Y$5&lt;=Cronograma!$G36,Y$5+6&gt;=Cronograma!$F36),IF(Cronograma!$D36="Hito","◆","■"),"")</x:f>
      </x:c>
      <x:c r="Z35" s="79" t="str">
        <x:f>IF(AND(Z$5&lt;=Cronograma!$G36,Z$5+6&gt;=Cronograma!$F36),IF(Cronograma!$D36="Hito","◆","■"),"")</x:f>
      </x:c>
      <x:c r="AA35" s="79" t="str">
        <x:f>IF(AND(AA$5&lt;=Cronograma!$G36,AA$5+6&gt;=Cronograma!$F36),IF(Cronograma!$D36="Hito","◆","■"),"")</x:f>
      </x:c>
      <x:c r="AB35" s="79" t="str">
        <x:f>IF(AND(AB$5&lt;=Cronograma!$G36,AB$5+6&gt;=Cronograma!$F36),IF(Cronograma!$D36="Hito","◆","■"),"")</x:f>
        <x:v>■</x:v>
      </x:c>
      <x:c r="AC35" s="79" t="str">
        <x:f>IF(AND(AC$5&lt;=Cronograma!$G36,AC$5+6&gt;=Cronograma!$F36),IF(Cronograma!$D36="Hito","◆","■"),"")</x:f>
      </x:c>
      <x:c r="AD35" s="79" t="str">
        <x:f>IF(AND(AD$5&lt;=Cronograma!$G36,AD$5+6&gt;=Cronograma!$F36),IF(Cronograma!$D36="Hito","◆","■"),"")</x:f>
      </x:c>
      <x:c r="AE35" s="79" t="str">
        <x:f>IF(AND(AE$5&lt;=Cronograma!$G36,AE$5+6&gt;=Cronograma!$F36),IF(Cronograma!$D36="Hito","◆","■"),"")</x:f>
      </x:c>
    </x:row>
    <x:row r="36" ht="25" customHeight="1">
      <x:c r="A36" s="76" t="str">
        <x:f>Cronograma!A37</x:f>
        <x:v>QA-02</x:v>
      </x:c>
      <x:c r="B36" s="76" t="str">
        <x:f>Cronograma!B37</x:f>
        <x:v>Despliegue en ambiente QA</x:v>
      </x:c>
      <x:c r="C36" s="76" t="str">
        <x:f>Cronograma!C37</x:f>
        <x:v>Validación y aceptación del cliente</x:v>
      </x:c>
      <x:c r="D36" s="77" t="n">
        <x:f>Cronograma!F37</x:f>
        <x:v>46422</x:v>
      </x:c>
      <x:c r="E36" s="77" t="n">
        <x:f>Cronograma!G37</x:f>
        <x:v>46437</x:v>
      </x:c>
      <x:c r="F36" s="78" t="n">
        <x:f>Cronograma!H37</x:f>
        <x:v>16</x:v>
      </x:c>
      <x:c r="G36" s="79" t="str">
        <x:f>IF(AND(G$5&lt;=Cronograma!$G37,G$5+6&gt;=Cronograma!$F37),IF(Cronograma!$D37="Hito","◆","■"),"")</x:f>
      </x:c>
      <x:c r="H36" s="79" t="str">
        <x:f>IF(AND(H$5&lt;=Cronograma!$G37,H$5+6&gt;=Cronograma!$F37),IF(Cronograma!$D37="Hito","◆","■"),"")</x:f>
      </x:c>
      <x:c r="I36" s="79" t="str">
        <x:f>IF(AND(I$5&lt;=Cronograma!$G37,I$5+6&gt;=Cronograma!$F37),IF(Cronograma!$D37="Hito","◆","■"),"")</x:f>
      </x:c>
      <x:c r="J36" s="79" t="str">
        <x:f>IF(AND(J$5&lt;=Cronograma!$G37,J$5+6&gt;=Cronograma!$F37),IF(Cronograma!$D37="Hito","◆","■"),"")</x:f>
      </x:c>
      <x:c r="K36" s="79" t="str">
        <x:f>IF(AND(K$5&lt;=Cronograma!$G37,K$5+6&gt;=Cronograma!$F37),IF(Cronograma!$D37="Hito","◆","■"),"")</x:f>
      </x:c>
      <x:c r="L36" s="79" t="str">
        <x:f>IF(AND(L$5&lt;=Cronograma!$G37,L$5+6&gt;=Cronograma!$F37),IF(Cronograma!$D37="Hito","◆","■"),"")</x:f>
      </x:c>
      <x:c r="M36" s="79" t="str">
        <x:f>IF(AND(M$5&lt;=Cronograma!$G37,M$5+6&gt;=Cronograma!$F37),IF(Cronograma!$D37="Hito","◆","■"),"")</x:f>
      </x:c>
      <x:c r="N36" s="79" t="str">
        <x:f>IF(AND(N$5&lt;=Cronograma!$G37,N$5+6&gt;=Cronograma!$F37),IF(Cronograma!$D37="Hito","◆","■"),"")</x:f>
      </x:c>
      <x:c r="O36" s="79" t="str">
        <x:f>IF(AND(O$5&lt;=Cronograma!$G37,O$5+6&gt;=Cronograma!$F37),IF(Cronograma!$D37="Hito","◆","■"),"")</x:f>
      </x:c>
      <x:c r="P36" s="79" t="str">
        <x:f>IF(AND(P$5&lt;=Cronograma!$G37,P$5+6&gt;=Cronograma!$F37),IF(Cronograma!$D37="Hito","◆","■"),"")</x:f>
      </x:c>
      <x:c r="Q36" s="79" t="str">
        <x:f>IF(AND(Q$5&lt;=Cronograma!$G37,Q$5+6&gt;=Cronograma!$F37),IF(Cronograma!$D37="Hito","◆","■"),"")</x:f>
      </x:c>
      <x:c r="R36" s="79" t="str">
        <x:f>IF(AND(R$5&lt;=Cronograma!$G37,R$5+6&gt;=Cronograma!$F37),IF(Cronograma!$D37="Hito","◆","■"),"")</x:f>
      </x:c>
      <x:c r="S36" s="79" t="str">
        <x:f>IF(AND(S$5&lt;=Cronograma!$G37,S$5+6&gt;=Cronograma!$F37),IF(Cronograma!$D37="Hito","◆","■"),"")</x:f>
      </x:c>
      <x:c r="T36" s="79" t="str">
        <x:f>IF(AND(T$5&lt;=Cronograma!$G37,T$5+6&gt;=Cronograma!$F37),IF(Cronograma!$D37="Hito","◆","■"),"")</x:f>
      </x:c>
      <x:c r="U36" s="79" t="str">
        <x:f>IF(AND(U$5&lt;=Cronograma!$G37,U$5+6&gt;=Cronograma!$F37),IF(Cronograma!$D37="Hito","◆","■"),"")</x:f>
      </x:c>
      <x:c r="V36" s="79" t="str">
        <x:f>IF(AND(V$5&lt;=Cronograma!$G37,V$5+6&gt;=Cronograma!$F37),IF(Cronograma!$D37="Hito","◆","■"),"")</x:f>
      </x:c>
      <x:c r="W36" s="79" t="str">
        <x:f>IF(AND(W$5&lt;=Cronograma!$G37,W$5+6&gt;=Cronograma!$F37),IF(Cronograma!$D37="Hito","◆","■"),"")</x:f>
      </x:c>
      <x:c r="X36" s="79" t="str">
        <x:f>IF(AND(X$5&lt;=Cronograma!$G37,X$5+6&gt;=Cronograma!$F37),IF(Cronograma!$D37="Hito","◆","■"),"")</x:f>
      </x:c>
      <x:c r="Y36" s="79" t="str">
        <x:f>IF(AND(Y$5&lt;=Cronograma!$G37,Y$5+6&gt;=Cronograma!$F37),IF(Cronograma!$D37="Hito","◆","■"),"")</x:f>
      </x:c>
      <x:c r="Z36" s="79" t="str">
        <x:f>IF(AND(Z$5&lt;=Cronograma!$G37,Z$5+6&gt;=Cronograma!$F37),IF(Cronograma!$D37="Hito","◆","■"),"")</x:f>
      </x:c>
      <x:c r="AA36" s="79" t="str">
        <x:f>IF(AND(AA$5&lt;=Cronograma!$G37,AA$5+6&gt;=Cronograma!$F37),IF(Cronograma!$D37="Hito","◆","■"),"")</x:f>
      </x:c>
      <x:c r="AB36" s="79" t="str">
        <x:f>IF(AND(AB$5&lt;=Cronograma!$G37,AB$5+6&gt;=Cronograma!$F37),IF(Cronograma!$D37="Hito","◆","■"),"")</x:f>
        <x:v>■</x:v>
      </x:c>
      <x:c r="AC36" s="79" t="str">
        <x:f>IF(AND(AC$5&lt;=Cronograma!$G37,AC$5+6&gt;=Cronograma!$F37),IF(Cronograma!$D37="Hito","◆","■"),"")</x:f>
        <x:v>■</x:v>
      </x:c>
      <x:c r="AD36" s="79" t="str">
        <x:f>IF(AND(AD$5&lt;=Cronograma!$G37,AD$5+6&gt;=Cronograma!$F37),IF(Cronograma!$D37="Hito","◆","■"),"")</x:f>
        <x:v>■</x:v>
      </x:c>
      <x:c r="AE36" s="79" t="str">
        <x:f>IF(AND(AE$5&lt;=Cronograma!$G37,AE$5+6&gt;=Cronograma!$F37),IF(Cronograma!$D37="Hito","◆","■"),"")</x:f>
      </x:c>
    </x:row>
    <x:row r="37" ht="25" customHeight="1">
      <x:c r="A37" s="80" t="str">
        <x:f>Cronograma!A38</x:f>
        <x:v>QA-H6</x:v>
      </x:c>
      <x:c r="B37" s="80" t="str">
        <x:f>Cronograma!B38</x:f>
        <x:v>Despliegue en ambiente QA</x:v>
      </x:c>
      <x:c r="C37" s="80" t="str">
        <x:f>Cronograma!C38</x:f>
        <x:v>Hito: autorización para PROD</x:v>
      </x:c>
      <x:c r="D37" s="81" t="n">
        <x:f>Cronograma!F38</x:f>
        <x:v>46437</x:v>
      </x:c>
      <x:c r="E37" s="81" t="n">
        <x:f>Cronograma!G38</x:f>
        <x:v>46437</x:v>
      </x:c>
      <x:c r="F37" s="82" t="n">
        <x:f>Cronograma!H38</x:f>
        <x:v>1</x:v>
      </x:c>
      <x:c r="G37" s="83" t="str">
        <x:f>IF(AND(G$5&lt;=Cronograma!$G38,G$5+6&gt;=Cronograma!$F38),IF(Cronograma!$D38="Hito","◆","■"),"")</x:f>
      </x:c>
      <x:c r="H37" s="83" t="str">
        <x:f>IF(AND(H$5&lt;=Cronograma!$G38,H$5+6&gt;=Cronograma!$F38),IF(Cronograma!$D38="Hito","◆","■"),"")</x:f>
      </x:c>
      <x:c r="I37" s="83" t="str">
        <x:f>IF(AND(I$5&lt;=Cronograma!$G38,I$5+6&gt;=Cronograma!$F38),IF(Cronograma!$D38="Hito","◆","■"),"")</x:f>
      </x:c>
      <x:c r="J37" s="83" t="str">
        <x:f>IF(AND(J$5&lt;=Cronograma!$G38,J$5+6&gt;=Cronograma!$F38),IF(Cronograma!$D38="Hito","◆","■"),"")</x:f>
      </x:c>
      <x:c r="K37" s="83" t="str">
        <x:f>IF(AND(K$5&lt;=Cronograma!$G38,K$5+6&gt;=Cronograma!$F38),IF(Cronograma!$D38="Hito","◆","■"),"")</x:f>
      </x:c>
      <x:c r="L37" s="83" t="str">
        <x:f>IF(AND(L$5&lt;=Cronograma!$G38,L$5+6&gt;=Cronograma!$F38),IF(Cronograma!$D38="Hito","◆","■"),"")</x:f>
      </x:c>
      <x:c r="M37" s="83" t="str">
        <x:f>IF(AND(M$5&lt;=Cronograma!$G38,M$5+6&gt;=Cronograma!$F38),IF(Cronograma!$D38="Hito","◆","■"),"")</x:f>
      </x:c>
      <x:c r="N37" s="83" t="str">
        <x:f>IF(AND(N$5&lt;=Cronograma!$G38,N$5+6&gt;=Cronograma!$F38),IF(Cronograma!$D38="Hito","◆","■"),"")</x:f>
      </x:c>
      <x:c r="O37" s="83" t="str">
        <x:f>IF(AND(O$5&lt;=Cronograma!$G38,O$5+6&gt;=Cronograma!$F38),IF(Cronograma!$D38="Hito","◆","■"),"")</x:f>
      </x:c>
      <x:c r="P37" s="83" t="str">
        <x:f>IF(AND(P$5&lt;=Cronograma!$G38,P$5+6&gt;=Cronograma!$F38),IF(Cronograma!$D38="Hito","◆","■"),"")</x:f>
      </x:c>
      <x:c r="Q37" s="83" t="str">
        <x:f>IF(AND(Q$5&lt;=Cronograma!$G38,Q$5+6&gt;=Cronograma!$F38),IF(Cronograma!$D38="Hito","◆","■"),"")</x:f>
      </x:c>
      <x:c r="R37" s="83" t="str">
        <x:f>IF(AND(R$5&lt;=Cronograma!$G38,R$5+6&gt;=Cronograma!$F38),IF(Cronograma!$D38="Hito","◆","■"),"")</x:f>
      </x:c>
      <x:c r="S37" s="83" t="str">
        <x:f>IF(AND(S$5&lt;=Cronograma!$G38,S$5+6&gt;=Cronograma!$F38),IF(Cronograma!$D38="Hito","◆","■"),"")</x:f>
      </x:c>
      <x:c r="T37" s="83" t="str">
        <x:f>IF(AND(T$5&lt;=Cronograma!$G38,T$5+6&gt;=Cronograma!$F38),IF(Cronograma!$D38="Hito","◆","■"),"")</x:f>
      </x:c>
      <x:c r="U37" s="83" t="str">
        <x:f>IF(AND(U$5&lt;=Cronograma!$G38,U$5+6&gt;=Cronograma!$F38),IF(Cronograma!$D38="Hito","◆","■"),"")</x:f>
      </x:c>
      <x:c r="V37" s="83" t="str">
        <x:f>IF(AND(V$5&lt;=Cronograma!$G38,V$5+6&gt;=Cronograma!$F38),IF(Cronograma!$D38="Hito","◆","■"),"")</x:f>
      </x:c>
      <x:c r="W37" s="83" t="str">
        <x:f>IF(AND(W$5&lt;=Cronograma!$G38,W$5+6&gt;=Cronograma!$F38),IF(Cronograma!$D38="Hito","◆","■"),"")</x:f>
      </x:c>
      <x:c r="X37" s="83" t="str">
        <x:f>IF(AND(X$5&lt;=Cronograma!$G38,X$5+6&gt;=Cronograma!$F38),IF(Cronograma!$D38="Hito","◆","■"),"")</x:f>
      </x:c>
      <x:c r="Y37" s="83" t="str">
        <x:f>IF(AND(Y$5&lt;=Cronograma!$G38,Y$5+6&gt;=Cronograma!$F38),IF(Cronograma!$D38="Hito","◆","■"),"")</x:f>
      </x:c>
      <x:c r="Z37" s="83" t="str">
        <x:f>IF(AND(Z$5&lt;=Cronograma!$G38,Z$5+6&gt;=Cronograma!$F38),IF(Cronograma!$D38="Hito","◆","■"),"")</x:f>
      </x:c>
      <x:c r="AA37" s="83" t="str">
        <x:f>IF(AND(AA$5&lt;=Cronograma!$G38,AA$5+6&gt;=Cronograma!$F38),IF(Cronograma!$D38="Hito","◆","■"),"")</x:f>
      </x:c>
      <x:c r="AB37" s="83" t="str">
        <x:f>IF(AND(AB$5&lt;=Cronograma!$G38,AB$5+6&gt;=Cronograma!$F38),IF(Cronograma!$D38="Hito","◆","■"),"")</x:f>
      </x:c>
      <x:c r="AC37" s="83" t="str">
        <x:f>IF(AND(AC$5&lt;=Cronograma!$G38,AC$5+6&gt;=Cronograma!$F38),IF(Cronograma!$D38="Hito","◆","■"),"")</x:f>
      </x:c>
      <x:c r="AD37" s="83" t="str">
        <x:f>IF(AND(AD$5&lt;=Cronograma!$G38,AD$5+6&gt;=Cronograma!$F38),IF(Cronograma!$D38="Hito","◆","■"),"")</x:f>
        <x:v>◆</x:v>
      </x:c>
      <x:c r="AE37" s="83" t="str">
        <x:f>IF(AND(AE$5&lt;=Cronograma!$G38,AE$5+6&gt;=Cronograma!$F38),IF(Cronograma!$D38="Hito","◆","■"),"")</x:f>
      </x:c>
    </x:row>
    <x:row r="38" ht="25" customHeight="1">
      <x:c r="A38" s="76" t="str">
        <x:f>Cronograma!A39</x:f>
        <x:v>PD-01</x:v>
      </x:c>
      <x:c r="B38" s="76" t="str">
        <x:f>Cronograma!B39</x:f>
        <x:v>Despliegue en ambiente PROD</x:v>
      </x:c>
      <x:c r="C38" s="76" t="str">
        <x:f>Cronograma!C39</x:f>
        <x:v>Despliegue en ambiente PROD</x:v>
      </x:c>
      <x:c r="D38" s="77" t="n">
        <x:f>Cronograma!F39</x:f>
        <x:v>46440</x:v>
      </x:c>
      <x:c r="E38" s="77" t="n">
        <x:f>Cronograma!G39</x:f>
        <x:v>46442</x:v>
      </x:c>
      <x:c r="F38" s="78" t="n">
        <x:f>Cronograma!H39</x:f>
        <x:v>3</x:v>
      </x:c>
      <x:c r="G38" s="79" t="str">
        <x:f>IF(AND(G$5&lt;=Cronograma!$G39,G$5+6&gt;=Cronograma!$F39),IF(Cronograma!$D39="Hito","◆","■"),"")</x:f>
      </x:c>
      <x:c r="H38" s="79" t="str">
        <x:f>IF(AND(H$5&lt;=Cronograma!$G39,H$5+6&gt;=Cronograma!$F39),IF(Cronograma!$D39="Hito","◆","■"),"")</x:f>
      </x:c>
      <x:c r="I38" s="79" t="str">
        <x:f>IF(AND(I$5&lt;=Cronograma!$G39,I$5+6&gt;=Cronograma!$F39),IF(Cronograma!$D39="Hito","◆","■"),"")</x:f>
      </x:c>
      <x:c r="J38" s="79" t="str">
        <x:f>IF(AND(J$5&lt;=Cronograma!$G39,J$5+6&gt;=Cronograma!$F39),IF(Cronograma!$D39="Hito","◆","■"),"")</x:f>
      </x:c>
      <x:c r="K38" s="79" t="str">
        <x:f>IF(AND(K$5&lt;=Cronograma!$G39,K$5+6&gt;=Cronograma!$F39),IF(Cronograma!$D39="Hito","◆","■"),"")</x:f>
      </x:c>
      <x:c r="L38" s="79" t="str">
        <x:f>IF(AND(L$5&lt;=Cronograma!$G39,L$5+6&gt;=Cronograma!$F39),IF(Cronograma!$D39="Hito","◆","■"),"")</x:f>
      </x:c>
      <x:c r="M38" s="79" t="str">
        <x:f>IF(AND(M$5&lt;=Cronograma!$G39,M$5+6&gt;=Cronograma!$F39),IF(Cronograma!$D39="Hito","◆","■"),"")</x:f>
      </x:c>
      <x:c r="N38" s="79" t="str">
        <x:f>IF(AND(N$5&lt;=Cronograma!$G39,N$5+6&gt;=Cronograma!$F39),IF(Cronograma!$D39="Hito","◆","■"),"")</x:f>
      </x:c>
      <x:c r="O38" s="79" t="str">
        <x:f>IF(AND(O$5&lt;=Cronograma!$G39,O$5+6&gt;=Cronograma!$F39),IF(Cronograma!$D39="Hito","◆","■"),"")</x:f>
      </x:c>
      <x:c r="P38" s="79" t="str">
        <x:f>IF(AND(P$5&lt;=Cronograma!$G39,P$5+6&gt;=Cronograma!$F39),IF(Cronograma!$D39="Hito","◆","■"),"")</x:f>
      </x:c>
      <x:c r="Q38" s="79" t="str">
        <x:f>IF(AND(Q$5&lt;=Cronograma!$G39,Q$5+6&gt;=Cronograma!$F39),IF(Cronograma!$D39="Hito","◆","■"),"")</x:f>
      </x:c>
      <x:c r="R38" s="79" t="str">
        <x:f>IF(AND(R$5&lt;=Cronograma!$G39,R$5+6&gt;=Cronograma!$F39),IF(Cronograma!$D39="Hito","◆","■"),"")</x:f>
      </x:c>
      <x:c r="S38" s="79" t="str">
        <x:f>IF(AND(S$5&lt;=Cronograma!$G39,S$5+6&gt;=Cronograma!$F39),IF(Cronograma!$D39="Hito","◆","■"),"")</x:f>
      </x:c>
      <x:c r="T38" s="79" t="str">
        <x:f>IF(AND(T$5&lt;=Cronograma!$G39,T$5+6&gt;=Cronograma!$F39),IF(Cronograma!$D39="Hito","◆","■"),"")</x:f>
      </x:c>
      <x:c r="U38" s="79" t="str">
        <x:f>IF(AND(U$5&lt;=Cronograma!$G39,U$5+6&gt;=Cronograma!$F39),IF(Cronograma!$D39="Hito","◆","■"),"")</x:f>
      </x:c>
      <x:c r="V38" s="79" t="str">
        <x:f>IF(AND(V$5&lt;=Cronograma!$G39,V$5+6&gt;=Cronograma!$F39),IF(Cronograma!$D39="Hito","◆","■"),"")</x:f>
      </x:c>
      <x:c r="W38" s="79" t="str">
        <x:f>IF(AND(W$5&lt;=Cronograma!$G39,W$5+6&gt;=Cronograma!$F39),IF(Cronograma!$D39="Hito","◆","■"),"")</x:f>
      </x:c>
      <x:c r="X38" s="79" t="str">
        <x:f>IF(AND(X$5&lt;=Cronograma!$G39,X$5+6&gt;=Cronograma!$F39),IF(Cronograma!$D39="Hito","◆","■"),"")</x:f>
      </x:c>
      <x:c r="Y38" s="79" t="str">
        <x:f>IF(AND(Y$5&lt;=Cronograma!$G39,Y$5+6&gt;=Cronograma!$F39),IF(Cronograma!$D39="Hito","◆","■"),"")</x:f>
      </x:c>
      <x:c r="Z38" s="79" t="str">
        <x:f>IF(AND(Z$5&lt;=Cronograma!$G39,Z$5+6&gt;=Cronograma!$F39),IF(Cronograma!$D39="Hito","◆","■"),"")</x:f>
      </x:c>
      <x:c r="AA38" s="79" t="str">
        <x:f>IF(AND(AA$5&lt;=Cronograma!$G39,AA$5+6&gt;=Cronograma!$F39),IF(Cronograma!$D39="Hito","◆","■"),"")</x:f>
      </x:c>
      <x:c r="AB38" s="79" t="str">
        <x:f>IF(AND(AB$5&lt;=Cronograma!$G39,AB$5+6&gt;=Cronograma!$F39),IF(Cronograma!$D39="Hito","◆","■"),"")</x:f>
      </x:c>
      <x:c r="AC38" s="79" t="str">
        <x:f>IF(AND(AC$5&lt;=Cronograma!$G39,AC$5+6&gt;=Cronograma!$F39),IF(Cronograma!$D39="Hito","◆","■"),"")</x:f>
      </x:c>
      <x:c r="AD38" s="79" t="str">
        <x:f>IF(AND(AD$5&lt;=Cronograma!$G39,AD$5+6&gt;=Cronograma!$F39),IF(Cronograma!$D39="Hito","◆","■"),"")</x:f>
      </x:c>
      <x:c r="AE38" s="79" t="str">
        <x:f>IF(AND(AE$5&lt;=Cronograma!$G39,AE$5+6&gt;=Cronograma!$F39),IF(Cronograma!$D39="Hito","◆","■"),"")</x:f>
        <x:v>■</x:v>
      </x:c>
    </x:row>
    <x:row r="39" ht="25" customHeight="1">
      <x:c r="A39" s="76" t="str">
        <x:f>Cronograma!A40</x:f>
        <x:v>PD-02</x:v>
      </x:c>
      <x:c r="B39" s="76" t="str">
        <x:f>Cronograma!B40</x:f>
        <x:v>Despliegue en ambiente PROD</x:v>
      </x:c>
      <x:c r="C39" s="76" t="str">
        <x:f>Cronograma!C40</x:f>
        <x:v>Verificación en producción</x:v>
      </x:c>
      <x:c r="D39" s="77" t="n">
        <x:f>Cronograma!F40</x:f>
        <x:v>46442</x:v>
      </x:c>
      <x:c r="E39" s="77" t="n">
        <x:f>Cronograma!G40</x:f>
        <x:v>46444</x:v>
      </x:c>
      <x:c r="F39" s="78" t="n">
        <x:f>Cronograma!H40</x:f>
        <x:v>3</x:v>
      </x:c>
      <x:c r="G39" s="79" t="str">
        <x:f>IF(AND(G$5&lt;=Cronograma!$G40,G$5+6&gt;=Cronograma!$F40),IF(Cronograma!$D40="Hito","◆","■"),"")</x:f>
      </x:c>
      <x:c r="H39" s="79" t="str">
        <x:f>IF(AND(H$5&lt;=Cronograma!$G40,H$5+6&gt;=Cronograma!$F40),IF(Cronograma!$D40="Hito","◆","■"),"")</x:f>
      </x:c>
      <x:c r="I39" s="79" t="str">
        <x:f>IF(AND(I$5&lt;=Cronograma!$G40,I$5+6&gt;=Cronograma!$F40),IF(Cronograma!$D40="Hito","◆","■"),"")</x:f>
      </x:c>
      <x:c r="J39" s="79" t="str">
        <x:f>IF(AND(J$5&lt;=Cronograma!$G40,J$5+6&gt;=Cronograma!$F40),IF(Cronograma!$D40="Hito","◆","■"),"")</x:f>
      </x:c>
      <x:c r="K39" s="79" t="str">
        <x:f>IF(AND(K$5&lt;=Cronograma!$G40,K$5+6&gt;=Cronograma!$F40),IF(Cronograma!$D40="Hito","◆","■"),"")</x:f>
      </x:c>
      <x:c r="L39" s="79" t="str">
        <x:f>IF(AND(L$5&lt;=Cronograma!$G40,L$5+6&gt;=Cronograma!$F40),IF(Cronograma!$D40="Hito","◆","■"),"")</x:f>
      </x:c>
      <x:c r="M39" s="79" t="str">
        <x:f>IF(AND(M$5&lt;=Cronograma!$G40,M$5+6&gt;=Cronograma!$F40),IF(Cronograma!$D40="Hito","◆","■"),"")</x:f>
      </x:c>
      <x:c r="N39" s="79" t="str">
        <x:f>IF(AND(N$5&lt;=Cronograma!$G40,N$5+6&gt;=Cronograma!$F40),IF(Cronograma!$D40="Hito","◆","■"),"")</x:f>
      </x:c>
      <x:c r="O39" s="79" t="str">
        <x:f>IF(AND(O$5&lt;=Cronograma!$G40,O$5+6&gt;=Cronograma!$F40),IF(Cronograma!$D40="Hito","◆","■"),"")</x:f>
      </x:c>
      <x:c r="P39" s="79" t="str">
        <x:f>IF(AND(P$5&lt;=Cronograma!$G40,P$5+6&gt;=Cronograma!$F40),IF(Cronograma!$D40="Hito","◆","■"),"")</x:f>
      </x:c>
      <x:c r="Q39" s="79" t="str">
        <x:f>IF(AND(Q$5&lt;=Cronograma!$G40,Q$5+6&gt;=Cronograma!$F40),IF(Cronograma!$D40="Hito","◆","■"),"")</x:f>
      </x:c>
      <x:c r="R39" s="79" t="str">
        <x:f>IF(AND(R$5&lt;=Cronograma!$G40,R$5+6&gt;=Cronograma!$F40),IF(Cronograma!$D40="Hito","◆","■"),"")</x:f>
      </x:c>
      <x:c r="S39" s="79" t="str">
        <x:f>IF(AND(S$5&lt;=Cronograma!$G40,S$5+6&gt;=Cronograma!$F40),IF(Cronograma!$D40="Hito","◆","■"),"")</x:f>
      </x:c>
      <x:c r="T39" s="79" t="str">
        <x:f>IF(AND(T$5&lt;=Cronograma!$G40,T$5+6&gt;=Cronograma!$F40),IF(Cronograma!$D40="Hito","◆","■"),"")</x:f>
      </x:c>
      <x:c r="U39" s="79" t="str">
        <x:f>IF(AND(U$5&lt;=Cronograma!$G40,U$5+6&gt;=Cronograma!$F40),IF(Cronograma!$D40="Hito","◆","■"),"")</x:f>
      </x:c>
      <x:c r="V39" s="79" t="str">
        <x:f>IF(AND(V$5&lt;=Cronograma!$G40,V$5+6&gt;=Cronograma!$F40),IF(Cronograma!$D40="Hito","◆","■"),"")</x:f>
      </x:c>
      <x:c r="W39" s="79" t="str">
        <x:f>IF(AND(W$5&lt;=Cronograma!$G40,W$5+6&gt;=Cronograma!$F40),IF(Cronograma!$D40="Hito","◆","■"),"")</x:f>
      </x:c>
      <x:c r="X39" s="79" t="str">
        <x:f>IF(AND(X$5&lt;=Cronograma!$G40,X$5+6&gt;=Cronograma!$F40),IF(Cronograma!$D40="Hito","◆","■"),"")</x:f>
      </x:c>
      <x:c r="Y39" s="79" t="str">
        <x:f>IF(AND(Y$5&lt;=Cronograma!$G40,Y$5+6&gt;=Cronograma!$F40),IF(Cronograma!$D40="Hito","◆","■"),"")</x:f>
      </x:c>
      <x:c r="Z39" s="79" t="str">
        <x:f>IF(AND(Z$5&lt;=Cronograma!$G40,Z$5+6&gt;=Cronograma!$F40),IF(Cronograma!$D40="Hito","◆","■"),"")</x:f>
      </x:c>
      <x:c r="AA39" s="79" t="str">
        <x:f>IF(AND(AA$5&lt;=Cronograma!$G40,AA$5+6&gt;=Cronograma!$F40),IF(Cronograma!$D40="Hito","◆","■"),"")</x:f>
      </x:c>
      <x:c r="AB39" s="79" t="str">
        <x:f>IF(AND(AB$5&lt;=Cronograma!$G40,AB$5+6&gt;=Cronograma!$F40),IF(Cronograma!$D40="Hito","◆","■"),"")</x:f>
      </x:c>
      <x:c r="AC39" s="79" t="str">
        <x:f>IF(AND(AC$5&lt;=Cronograma!$G40,AC$5+6&gt;=Cronograma!$F40),IF(Cronograma!$D40="Hito","◆","■"),"")</x:f>
      </x:c>
      <x:c r="AD39" s="79" t="str">
        <x:f>IF(AND(AD$5&lt;=Cronograma!$G40,AD$5+6&gt;=Cronograma!$F40),IF(Cronograma!$D40="Hito","◆","■"),"")</x:f>
      </x:c>
      <x:c r="AE39" s="79" t="str">
        <x:f>IF(AND(AE$5&lt;=Cronograma!$G40,AE$5+6&gt;=Cronograma!$F40),IF(Cronograma!$D40="Hito","◆","■"),"")</x:f>
        <x:v>■</x:v>
      </x:c>
    </x:row>
    <x:row r="40" ht="25" customHeight="1">
      <x:c r="A40" s="80" t="str">
        <x:f>Cronograma!A41</x:f>
        <x:v>PD-H7</x:v>
      </x:c>
      <x:c r="B40" s="80" t="str">
        <x:f>Cronograma!B41</x:f>
        <x:v>Despliegue en ambiente PROD</x:v>
      </x:c>
      <x:c r="C40" s="80" t="str">
        <x:f>Cronograma!C41</x:f>
        <x:v>Hito: plataforma operativa</x:v>
      </x:c>
      <x:c r="D40" s="81" t="n">
        <x:f>Cronograma!F41</x:f>
        <x:v>46444</x:v>
      </x:c>
      <x:c r="E40" s="81" t="n">
        <x:f>Cronograma!G41</x:f>
        <x:v>46444</x:v>
      </x:c>
      <x:c r="F40" s="82" t="n">
        <x:f>Cronograma!H41</x:f>
        <x:v>1</x:v>
      </x:c>
      <x:c r="G40" s="83" t="str">
        <x:f>IF(AND(G$5&lt;=Cronograma!$G41,G$5+6&gt;=Cronograma!$F41),IF(Cronograma!$D41="Hito","◆","■"),"")</x:f>
      </x:c>
      <x:c r="H40" s="83" t="str">
        <x:f>IF(AND(H$5&lt;=Cronograma!$G41,H$5+6&gt;=Cronograma!$F41),IF(Cronograma!$D41="Hito","◆","■"),"")</x:f>
      </x:c>
      <x:c r="I40" s="83" t="str">
        <x:f>IF(AND(I$5&lt;=Cronograma!$G41,I$5+6&gt;=Cronograma!$F41),IF(Cronograma!$D41="Hito","◆","■"),"")</x:f>
      </x:c>
      <x:c r="J40" s="83" t="str">
        <x:f>IF(AND(J$5&lt;=Cronograma!$G41,J$5+6&gt;=Cronograma!$F41),IF(Cronograma!$D41="Hito","◆","■"),"")</x:f>
      </x:c>
      <x:c r="K40" s="83" t="str">
        <x:f>IF(AND(K$5&lt;=Cronograma!$G41,K$5+6&gt;=Cronograma!$F41),IF(Cronograma!$D41="Hito","◆","■"),"")</x:f>
      </x:c>
      <x:c r="L40" s="83" t="str">
        <x:f>IF(AND(L$5&lt;=Cronograma!$G41,L$5+6&gt;=Cronograma!$F41),IF(Cronograma!$D41="Hito","◆","■"),"")</x:f>
      </x:c>
      <x:c r="M40" s="83" t="str">
        <x:f>IF(AND(M$5&lt;=Cronograma!$G41,M$5+6&gt;=Cronograma!$F41),IF(Cronograma!$D41="Hito","◆","■"),"")</x:f>
      </x:c>
      <x:c r="N40" s="83" t="str">
        <x:f>IF(AND(N$5&lt;=Cronograma!$G41,N$5+6&gt;=Cronograma!$F41),IF(Cronograma!$D41="Hito","◆","■"),"")</x:f>
      </x:c>
      <x:c r="O40" s="83" t="str">
        <x:f>IF(AND(O$5&lt;=Cronograma!$G41,O$5+6&gt;=Cronograma!$F41),IF(Cronograma!$D41="Hito","◆","■"),"")</x:f>
      </x:c>
      <x:c r="P40" s="83" t="str">
        <x:f>IF(AND(P$5&lt;=Cronograma!$G41,P$5+6&gt;=Cronograma!$F41),IF(Cronograma!$D41="Hito","◆","■"),"")</x:f>
      </x:c>
      <x:c r="Q40" s="83" t="str">
        <x:f>IF(AND(Q$5&lt;=Cronograma!$G41,Q$5+6&gt;=Cronograma!$F41),IF(Cronograma!$D41="Hito","◆","■"),"")</x:f>
      </x:c>
      <x:c r="R40" s="83" t="str">
        <x:f>IF(AND(R$5&lt;=Cronograma!$G41,R$5+6&gt;=Cronograma!$F41),IF(Cronograma!$D41="Hito","◆","■"),"")</x:f>
      </x:c>
      <x:c r="S40" s="83" t="str">
        <x:f>IF(AND(S$5&lt;=Cronograma!$G41,S$5+6&gt;=Cronograma!$F41),IF(Cronograma!$D41="Hito","◆","■"),"")</x:f>
      </x:c>
      <x:c r="T40" s="83" t="str">
        <x:f>IF(AND(T$5&lt;=Cronograma!$G41,T$5+6&gt;=Cronograma!$F41),IF(Cronograma!$D41="Hito","◆","■"),"")</x:f>
      </x:c>
      <x:c r="U40" s="83" t="str">
        <x:f>IF(AND(U$5&lt;=Cronograma!$G41,U$5+6&gt;=Cronograma!$F41),IF(Cronograma!$D41="Hito","◆","■"),"")</x:f>
      </x:c>
      <x:c r="V40" s="83" t="str">
        <x:f>IF(AND(V$5&lt;=Cronograma!$G41,V$5+6&gt;=Cronograma!$F41),IF(Cronograma!$D41="Hito","◆","■"),"")</x:f>
      </x:c>
      <x:c r="W40" s="83" t="str">
        <x:f>IF(AND(W$5&lt;=Cronograma!$G41,W$5+6&gt;=Cronograma!$F41),IF(Cronograma!$D41="Hito","◆","■"),"")</x:f>
      </x:c>
      <x:c r="X40" s="83" t="str">
        <x:f>IF(AND(X$5&lt;=Cronograma!$G41,X$5+6&gt;=Cronograma!$F41),IF(Cronograma!$D41="Hito","◆","■"),"")</x:f>
      </x:c>
      <x:c r="Y40" s="83" t="str">
        <x:f>IF(AND(Y$5&lt;=Cronograma!$G41,Y$5+6&gt;=Cronograma!$F41),IF(Cronograma!$D41="Hito","◆","■"),"")</x:f>
      </x:c>
      <x:c r="Z40" s="83" t="str">
        <x:f>IF(AND(Z$5&lt;=Cronograma!$G41,Z$5+6&gt;=Cronograma!$F41),IF(Cronograma!$D41="Hito","◆","■"),"")</x:f>
      </x:c>
      <x:c r="AA40" s="83" t="str">
        <x:f>IF(AND(AA$5&lt;=Cronograma!$G41,AA$5+6&gt;=Cronograma!$F41),IF(Cronograma!$D41="Hito","◆","■"),"")</x:f>
      </x:c>
      <x:c r="AB40" s="83" t="str">
        <x:f>IF(AND(AB$5&lt;=Cronograma!$G41,AB$5+6&gt;=Cronograma!$F41),IF(Cronograma!$D41="Hito","◆","■"),"")</x:f>
      </x:c>
      <x:c r="AC40" s="83" t="str">
        <x:f>IF(AND(AC$5&lt;=Cronograma!$G41,AC$5+6&gt;=Cronograma!$F41),IF(Cronograma!$D41="Hito","◆","■"),"")</x:f>
      </x:c>
      <x:c r="AD40" s="83" t="str">
        <x:f>IF(AND(AD$5&lt;=Cronograma!$G41,AD$5+6&gt;=Cronograma!$F41),IF(Cronograma!$D41="Hito","◆","■"),"")</x:f>
      </x:c>
      <x:c r="AE40" s="83" t="str">
        <x:f>IF(AND(AE$5&lt;=Cronograma!$G41,AE$5+6&gt;=Cronograma!$F41),IF(Cronograma!$D41="Hito","◆","■"),"")</x:f>
        <x:v>◆</x:v>
      </x:c>
    </x:row>
    <x:row r="41" ht="25" customHeight="1">
      <x:c r="A41" s="84" t="str">
        <x:f>Cronograma!A42</x:f>
        <x:v>CA-01</x:v>
      </x:c>
      <x:c r="B41" s="84" t="str">
        <x:f>Cronograma!B42</x:f>
        <x:v>Capacitaciones</x:v>
      </x:c>
      <x:c r="C41" s="84" t="str">
        <x:f>Cronograma!C42</x:f>
        <x:v>Capacitaciones</x:v>
      </x:c>
      <x:c r="D41" s="85" t="n">
        <x:f>Cronograma!F42</x:f>
        <x:v>46433</x:v>
      </x:c>
      <x:c r="E41" s="85" t="n">
        <x:f>Cronograma!G42</x:f>
        <x:v>46444</x:v>
      </x:c>
      <x:c r="F41" s="86" t="n">
        <x:f>Cronograma!H42</x:f>
        <x:v>12</x:v>
      </x:c>
      <x:c r="G41" s="87" t="str">
        <x:f>IF(AND(G$5&lt;=Cronograma!$G42,G$5+6&gt;=Cronograma!$F42),IF(Cronograma!$D42="Hito","◆","■"),"")</x:f>
      </x:c>
      <x:c r="H41" s="87" t="str">
        <x:f>IF(AND(H$5&lt;=Cronograma!$G42,H$5+6&gt;=Cronograma!$F42),IF(Cronograma!$D42="Hito","◆","■"),"")</x:f>
      </x:c>
      <x:c r="I41" s="87" t="str">
        <x:f>IF(AND(I$5&lt;=Cronograma!$G42,I$5+6&gt;=Cronograma!$F42),IF(Cronograma!$D42="Hito","◆","■"),"")</x:f>
      </x:c>
      <x:c r="J41" s="87" t="str">
        <x:f>IF(AND(J$5&lt;=Cronograma!$G42,J$5+6&gt;=Cronograma!$F42),IF(Cronograma!$D42="Hito","◆","■"),"")</x:f>
      </x:c>
      <x:c r="K41" s="87" t="str">
        <x:f>IF(AND(K$5&lt;=Cronograma!$G42,K$5+6&gt;=Cronograma!$F42),IF(Cronograma!$D42="Hito","◆","■"),"")</x:f>
      </x:c>
      <x:c r="L41" s="87" t="str">
        <x:f>IF(AND(L$5&lt;=Cronograma!$G42,L$5+6&gt;=Cronograma!$F42),IF(Cronograma!$D42="Hito","◆","■"),"")</x:f>
      </x:c>
      <x:c r="M41" s="87" t="str">
        <x:f>IF(AND(M$5&lt;=Cronograma!$G42,M$5+6&gt;=Cronograma!$F42),IF(Cronograma!$D42="Hito","◆","■"),"")</x:f>
      </x:c>
      <x:c r="N41" s="87" t="str">
        <x:f>IF(AND(N$5&lt;=Cronograma!$G42,N$5+6&gt;=Cronograma!$F42),IF(Cronograma!$D42="Hito","◆","■"),"")</x:f>
      </x:c>
      <x:c r="O41" s="87" t="str">
        <x:f>IF(AND(O$5&lt;=Cronograma!$G42,O$5+6&gt;=Cronograma!$F42),IF(Cronograma!$D42="Hito","◆","■"),"")</x:f>
      </x:c>
      <x:c r="P41" s="87" t="str">
        <x:f>IF(AND(P$5&lt;=Cronograma!$G42,P$5+6&gt;=Cronograma!$F42),IF(Cronograma!$D42="Hito","◆","■"),"")</x:f>
      </x:c>
      <x:c r="Q41" s="87" t="str">
        <x:f>IF(AND(Q$5&lt;=Cronograma!$G42,Q$5+6&gt;=Cronograma!$F42),IF(Cronograma!$D42="Hito","◆","■"),"")</x:f>
      </x:c>
      <x:c r="R41" s="87" t="str">
        <x:f>IF(AND(R$5&lt;=Cronograma!$G42,R$5+6&gt;=Cronograma!$F42),IF(Cronograma!$D42="Hito","◆","■"),"")</x:f>
      </x:c>
      <x:c r="S41" s="87" t="str">
        <x:f>IF(AND(S$5&lt;=Cronograma!$G42,S$5+6&gt;=Cronograma!$F42),IF(Cronograma!$D42="Hito","◆","■"),"")</x:f>
      </x:c>
      <x:c r="T41" s="87" t="str">
        <x:f>IF(AND(T$5&lt;=Cronograma!$G42,T$5+6&gt;=Cronograma!$F42),IF(Cronograma!$D42="Hito","◆","■"),"")</x:f>
      </x:c>
      <x:c r="U41" s="87" t="str">
        <x:f>IF(AND(U$5&lt;=Cronograma!$G42,U$5+6&gt;=Cronograma!$F42),IF(Cronograma!$D42="Hito","◆","■"),"")</x:f>
      </x:c>
      <x:c r="V41" s="87" t="str">
        <x:f>IF(AND(V$5&lt;=Cronograma!$G42,V$5+6&gt;=Cronograma!$F42),IF(Cronograma!$D42="Hito","◆","■"),"")</x:f>
      </x:c>
      <x:c r="W41" s="87" t="str">
        <x:f>IF(AND(W$5&lt;=Cronograma!$G42,W$5+6&gt;=Cronograma!$F42),IF(Cronograma!$D42="Hito","◆","■"),"")</x:f>
      </x:c>
      <x:c r="X41" s="87" t="str">
        <x:f>IF(AND(X$5&lt;=Cronograma!$G42,X$5+6&gt;=Cronograma!$F42),IF(Cronograma!$D42="Hito","◆","■"),"")</x:f>
      </x:c>
      <x:c r="Y41" s="87" t="str">
        <x:f>IF(AND(Y$5&lt;=Cronograma!$G42,Y$5+6&gt;=Cronograma!$F42),IF(Cronograma!$D42="Hito","◆","■"),"")</x:f>
      </x:c>
      <x:c r="Z41" s="87" t="str">
        <x:f>IF(AND(Z$5&lt;=Cronograma!$G42,Z$5+6&gt;=Cronograma!$F42),IF(Cronograma!$D42="Hito","◆","■"),"")</x:f>
      </x:c>
      <x:c r="AA41" s="87" t="str">
        <x:f>IF(AND(AA$5&lt;=Cronograma!$G42,AA$5+6&gt;=Cronograma!$F42),IF(Cronograma!$D42="Hito","◆","■"),"")</x:f>
      </x:c>
      <x:c r="AB41" s="87" t="str">
        <x:f>IF(AND(AB$5&lt;=Cronograma!$G42,AB$5+6&gt;=Cronograma!$F42),IF(Cronograma!$D42="Hito","◆","■"),"")</x:f>
      </x:c>
      <x:c r="AC41" s="87" t="str">
        <x:f>IF(AND(AC$5&lt;=Cronograma!$G42,AC$5+6&gt;=Cronograma!$F42),IF(Cronograma!$D42="Hito","◆","■"),"")</x:f>
      </x:c>
      <x:c r="AD41" s="87" t="str">
        <x:f>IF(AND(AD$5&lt;=Cronograma!$G42,AD$5+6&gt;=Cronograma!$F42),IF(Cronograma!$D42="Hito","◆","■"),"")</x:f>
        <x:v>■</x:v>
      </x:c>
      <x:c r="AE41" s="87" t="str">
        <x:f>IF(AND(AE$5&lt;=Cronograma!$G42,AE$5+6&gt;=Cronograma!$F42),IF(Cronograma!$D42="Hito","◆","■"),"")</x:f>
        <x:v>■</x:v>
      </x:c>
    </x:row>
  </x:sheetData>
  <x:pageMargins left="0.7" right="0.7" top="0.75" bottom="0.75" header="0.3" footer="0.3"/>
</x:worksheet>
</file>