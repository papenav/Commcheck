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d9e6d8cb5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0213c15e4d7c4f5b"/>
    <x:sheet xmlns:r="http://schemas.openxmlformats.org/officeDocument/2006/relationships" name="Gantt semanal" sheetId="2" r:id="R42f9f621c45c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 mmm"/>
  </x:numFmts>
  <x:fonts count="8">
    <x:font>
      <x:sz val="11"/>
      <x:name val="Carlito"/>
    </x:font>
    <x:font>
      <x:sz val="10"/>
      <x:color rgb="FF17324D"/>
      <x:name val="Arial"/>
    </x:font>
    <x:font>
      <x:b/>
      <x:sz val="14"/>
      <x:color rgb="FF17324D"/>
      <x:name val="Arial"/>
    </x:font>
    <x:font>
      <x:i/>
      <x:sz val="10"/>
      <x:color rgb="FF53677B"/>
      <x:name val="Arial"/>
    </x:font>
    <x:font>
      <x:b/>
      <x:sz val="10"/>
      <x:color rgb="FFFFFFFF"/>
      <x:name val="Arial"/>
    </x:font>
    <x:font>
      <x:sz val="10"/>
      <x:color rgb="FF23384D"/>
      <x:name val="Arial"/>
    </x:font>
    <x:font>
      <x:b/>
      <x:sz val="10"/>
      <x:color rgb="FF173B5C"/>
      <x:name val="Arial"/>
    </x:font>
    <x:font>
      <x:b/>
      <x:sz val="12"/>
      <x:color rgb="FF2473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173B5C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</x:fills>
  <x:borders count="4">
    <x:border/>
    <x:border>
      <x:bottom style="thin">
        <x:color rgb="FFDEE6ED"/>
      </x:bottom>
    </x:border>
    <x:border>
      <x:top style="thin">
        <x:color rgb="FFDEE6ED"/>
      </x:top>
      <x:bottom style="thin">
        <x:color rgb="FFDEE6ED"/>
      </x:bottom>
    </x:border>
    <x:border>
      <x:top style="thin">
        <x:color rgb="FFDEE6ED"/>
      </x:top>
    </x:border>
  </x:borders>
  <x:cellStyleXfs count="1">
    <x:xf numFmtId="0" fontId="0" fillId="0" borderId="0"/>
  </x:cellStyleXfs>
  <x:cellXfs count="8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5" fillId="2" borderId="3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horizontal="center" vertical="center"/>
    </x:xf>
    <x:xf numFmtId="201" fontId="6" fillId="4" borderId="2" xfId="0" applyNumberFormat="1" applyFont="1" applyFill="1" applyBorder="1" applyAlignment="1">
      <x:alignment horizontal="right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9e11c5ac14471" /><Relationship Type="http://schemas.openxmlformats.org/officeDocument/2006/relationships/theme" Target="/xl/theme/theme1.xml" Id="R4bbba37bc90f49bb" /><Relationship Type="http://schemas.openxmlformats.org/officeDocument/2006/relationships/sharedStrings" Target="/xl/sharedStrings.xml" Id="R8066a509fb7141d0" /><Relationship Type="http://schemas.openxmlformats.org/officeDocument/2006/relationships/worksheet" Target="/xl/worksheets/sheet1.xml" Id="R0213c15e4d7c4f5b" /><Relationship Type="http://schemas.openxmlformats.org/officeDocument/2006/relationships/worksheet" Target="/xl/worksheets/sheet2.xml" Id="R42f9f621c45c40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24" hidden="0" customWidth="1"/>
    <x:col min="11" max="11" width="32" hidden="0" customWidth="1"/>
    <x:col min="12" max="12" width="58" hidden="0" customWidth="1"/>
    <x:col min="13" max="13" width="27" hidden="0" customWidth="1"/>
    <x:col min="14" max="14" width="23" hidden="0" customWidth="1"/>
    <x:col min="15" max="15" width="42" hidden="0" customWidth="1"/>
  </x:cols>
  <x:sheetData>
    <x:row r="2">
      <x:c r="A2" s="6" t="str">
        <x:v>Cronograma maestro de desarrollo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 t="str">
        <x:v>Inicio real: 09/09/2026 · Meta solicitada PROD: 26/02/2027 · Escenario secuencial propuesto PROD: 28/05/2027 · Primera entrega: TM, Precom, Com y PEM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7" t="str">
        <x:v>Usuarios y acceso se implementan después de Construcción y Reportabilidad. Fechas propuestas sujetas a validación del cliente.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6" ht="34" customHeight="1">
      <x:c r="A6" s="12" t="str">
        <x:v>ID</x:v>
      </x:c>
      <x:c r="B6" s="12" t="str">
        <x:v>Bloque</x:v>
      </x:c>
      <x:c r="C6" s="12" t="str">
        <x:v>Actividad</x:v>
      </x:c>
      <x:c r="D6" s="12" t="str">
        <x:v>Tipo</x:v>
      </x:c>
      <x:c r="E6" s="12" t="str">
        <x:v>Estado</x:v>
      </x:c>
      <x:c r="F6" s="12" t="str">
        <x:v>Inicio</x:v>
      </x:c>
      <x:c r="G6" s="12" t="str">
        <x:v>Fin</x:v>
      </x:c>
      <x:c r="H6" s="12" t="str">
        <x:v>Duración (días calendario)</x:v>
      </x:c>
      <x:c r="I6" s="12" t="str">
        <x:v>Semana cierre (lunes)</x:v>
      </x:c>
      <x:c r="J6" s="12" t="str">
        <x:v>Dependencia</x:v>
      </x:c>
      <x:c r="K6" s="12" t="str">
        <x:v>Entregable</x:v>
      </x:c>
      <x:c r="L6" s="12" t="str">
        <x:v>Criterio de aceptación</x:v>
      </x:c>
      <x:c r="M6" s="12" t="str">
        <x:v>Responsable (rol propuesto)</x:v>
      </x:c>
      <x:c r="N6" s="12" t="str">
        <x:v>Persona confirmada</x:v>
      </x:c>
      <x:c r="O6" s="12" t="str">
        <x:v>Observaciones</x:v>
      </x:c>
    </x:row>
    <x:row r="7" ht="26" customHeight="1">
      <x:c r="A7" s="23" t="str">
        <x:v>LM-01</x:v>
      </x:c>
      <x:c r="B7" s="23" t="str">
        <x:v>Levantamiento del modelo inicial</x:v>
      </x:c>
      <x:c r="C7" s="23" t="str">
        <x:v>Revisar Matriz TM&amp;PC</x:v>
      </x:c>
      <x:c r="D7" s="23" t="str">
        <x:v>Actividad</x:v>
      </x:c>
      <x:c r="E7" s="23" t="str">
        <x:v>Realizado</x:v>
      </x:c>
      <x:c r="F7" s="44" t="n">
        <x:v>46274</x:v>
      </x:c>
      <x:c r="G7" s="44" t="n">
        <x:v>46274</x:v>
      </x:c>
      <x:c r="H7" s="38" t="n">
        <x:f>G7-F7+1</x:f>
        <x:v>1</x:v>
      </x:c>
      <x:c r="I7" s="39" t="n">
        <x:f>G7-WEEKDAY(G7,2)+1</x:f>
        <x:v>46272</x:v>
      </x:c>
      <x:c r="J7" s="23" t="str">
        <x:v>—</x:v>
      </x:c>
      <x:c r="K7" s="23" t="str">
        <x:v>Análisis histórico documentado</x:v>
      </x:c>
      <x:c r="L7" s="23" t="str">
        <x:v>Análisis disponible; no se adopta como fuente funcional vigente</x:v>
      </x:c>
      <x:c r="M7" s="23" t="str">
        <x:v>Análisis funcional</x:v>
      </x:c>
      <x:c r="N7" s="27" t="str"/>
      <x:c r="O7" s="23" t="str">
        <x:v>Registro consolidado en Git 30d985e</x:v>
      </x:c>
    </x:row>
    <x:row r="8" ht="26" customHeight="1">
      <x:c r="A8" s="28" t="str">
        <x:v>LM-02</x:v>
      </x:c>
      <x:c r="B8" s="28" t="str">
        <x:v>Levantamiento del modelo inicial</x:v>
      </x:c>
      <x:c r="C8" s="28" t="str">
        <x:v>Revisar modelo HTML</x:v>
      </x:c>
      <x:c r="D8" s="28" t="str">
        <x:v>Actividad</x:v>
      </x:c>
      <x:c r="E8" s="28" t="str">
        <x:v>Realizado</x:v>
      </x:c>
      <x:c r="F8" s="45" t="n">
        <x:v>46274</x:v>
      </x:c>
      <x:c r="G8" s="45" t="n">
        <x:v>46274</x:v>
      </x:c>
      <x:c r="H8" s="40" t="n">
        <x:f>G8-F8+1</x:f>
        <x:v>1</x:v>
      </x:c>
      <x:c r="I8" s="41" t="n">
        <x:f>G8-WEEKDAY(G8,2)+1</x:f>
        <x:v>46272</x:v>
      </x:c>
      <x:c r="J8" s="28" t="str">
        <x:v>—</x:v>
      </x:c>
      <x:c r="K8" s="28" t="str">
        <x:v>Demo oficial y análisis funcional</x:v>
      </x:c>
      <x:c r="L8" s="28" t="str">
        <x:v>Demo incorporada al repositorio y alcance documentado</x:v>
      </x:c>
      <x:c r="M8" s="28" t="str">
        <x:v>Análisis funcional</x:v>
      </x:c>
      <x:c r="N8" s="32" t="str"/>
      <x:c r="O8" s="28" t="str">
        <x:v>Demo oficial versionada en Git 7ff24ee</x:v>
      </x:c>
    </x:row>
    <x:row r="9" ht="26" customHeight="1">
      <x:c r="A9" s="28" t="str">
        <x:v>LM-03</x:v>
      </x:c>
      <x:c r="B9" s="28" t="str">
        <x:v>Levantamiento del modelo inicial</x:v>
      </x:c>
      <x:c r="C9" s="28" t="str">
        <x:v>Construcción de diagrama entidad relación</x:v>
      </x:c>
      <x:c r="D9" s="28" t="str">
        <x:v>Actividad</x:v>
      </x:c>
      <x:c r="E9" s="28" t="str">
        <x:v>Realizado</x:v>
      </x:c>
      <x:c r="F9" s="45" t="n">
        <x:v>46274</x:v>
      </x:c>
      <x:c r="G9" s="45" t="n">
        <x:v>46277</x:v>
      </x:c>
      <x:c r="H9" s="40" t="n">
        <x:f>G9-F9+1</x:f>
        <x:v>4</x:v>
      </x:c>
      <x:c r="I9" s="41" t="n">
        <x:f>G9-WEEKDAY(G9,2)+1</x:f>
        <x:v>46272</x:v>
      </x:c>
      <x:c r="J9" s="28" t="str">
        <x:v>LM-01; LM-02</x:v>
      </x:c>
      <x:c r="K9" s="28" t="str">
        <x:v>Diagrama conceptual DC-001</x:v>
      </x:c>
      <x:c r="L9" s="28" t="str">
        <x:v>Diagrama disponible y versionado para revisión del cliente</x:v>
      </x:c>
      <x:c r="M9" s="28" t="str">
        <x:v>Diseño funcional</x:v>
      </x:c>
      <x:c r="N9" s="32" t="str"/>
      <x:c r="O9" s="28" t="str">
        <x:v>Diagrama conceptual en Git 887581f; pendiente aprobación cliente</x:v>
      </x:c>
    </x:row>
    <x:row r="10" ht="26" customHeight="1">
      <x:c r="A10" s="28" t="str">
        <x:v>LM-04</x:v>
      </x:c>
      <x:c r="B10" s="28" t="str">
        <x:v>Levantamiento del modelo inicial</x:v>
      </x:c>
      <x:c r="C10" s="28" t="str">
        <x:v>Validar modelo y alcance con el cliente</x:v>
      </x:c>
      <x:c r="D10" s="28" t="str">
        <x:v>Actividad</x:v>
      </x:c>
      <x:c r="E10" s="28" t="str">
        <x:v>Propuesto</x:v>
      </x:c>
      <x:c r="F10" s="45" t="n">
        <x:v>46281</x:v>
      </x:c>
      <x:c r="G10" s="45" t="n">
        <x:v>46296</x:v>
      </x:c>
      <x:c r="H10" s="40" t="n">
        <x:f>G10-F10+1</x:f>
        <x:v>16</x:v>
      </x:c>
      <x:c r="I10" s="41" t="n">
        <x:f>G10-WEEKDAY(G10,2)+1</x:f>
        <x:v>46293</x:v>
      </x:c>
      <x:c r="J10" s="28" t="str">
        <x:v>LM-03</x:v>
      </x:c>
      <x:c r="K10" s="28" t="str">
        <x:v>Modelo y alcance validados</x:v>
      </x:c>
      <x:c r="L10" s="28" t="str">
        <x:v>Cliente confirma que la primera entrega debe operar TM, Precomisionamiento, Comisionamiento y PEM</x:v>
      </x:c>
      <x:c r="M10" s="28" t="str">
        <x:v>Cliente / producto</x:v>
      </x:c>
      <x:c r="N10" s="32" t="str"/>
      <x:c r="O10" s="28" t="str">
        <x:v>Fecha sujeta a agenda del cliente</x:v>
      </x:c>
    </x:row>
    <x:row r="11" ht="26" customHeight="1">
      <x:c r="A11" s="28" t="str">
        <x:v>LM-05</x:v>
      </x:c>
      <x:c r="B11" s="28" t="str">
        <x:v>Levantamiento del modelo inicial</x:v>
      </x:c>
      <x:c r="C11" s="28" t="str">
        <x:v>Completar reglas de Precomisionamiento, Comisionamiento y PEM</x:v>
      </x:c>
      <x:c r="D11" s="28" t="str">
        <x:v>Actividad</x:v>
      </x:c>
      <x:c r="E11" s="28" t="str">
        <x:v>Propuesto</x:v>
      </x:c>
      <x:c r="F11" s="45" t="n">
        <x:v>46281</x:v>
      </x:c>
      <x:c r="G11" s="45" t="n">
        <x:v>46296</x:v>
      </x:c>
      <x:c r="H11" s="40" t="n">
        <x:f>G11-F11+1</x:f>
        <x:v>16</x:v>
      </x:c>
      <x:c r="I11" s="41" t="n">
        <x:f>G11-WEEKDAY(G11,2)+1</x:f>
        <x:v>46293</x:v>
      </x:c>
      <x:c r="J11" s="28" t="str">
        <x:v>LM-04 (trabajo paralelo)</x:v>
      </x:c>
      <x:c r="K11" s="28" t="str">
        <x:v>Definición funcional de las tres etapas</x:v>
      </x:c>
      <x:c r="L11" s="28" t="str">
        <x:v>Cliente valida por etapa líneas base, controles, caminatas, resultados, estados, aprobaciones, fórmulas y gates</x:v>
      </x:c>
      <x:c r="M11" s="28" t="str">
        <x:v>Cliente / producto</x:v>
      </x:c>
      <x:c r="N11" s="32" t="str"/>
      <x:c r="O11" s="28" t="str">
        <x:v>La demo solo muestra parcialmente estas etapas; no asumir reglas TM idénticas sin aprobación</x:v>
      </x:c>
    </x:row>
    <x:row r="12" ht="26" customHeight="1">
      <x:c r="A12" s="51" t="str">
        <x:v>LM-H1</x:v>
      </x:c>
      <x:c r="B12" s="51" t="str">
        <x:v>Levantamiento del modelo inicial</x:v>
      </x:c>
      <x:c r="C12" s="51" t="str">
        <x:v>Hito: Aprobaciòn del modelo de la plataforma</x:v>
      </x:c>
      <x:c r="D12" s="51" t="str">
        <x:v>Hito</x:v>
      </x:c>
      <x:c r="E12" s="51" t="str">
        <x:v>Propuesto</x:v>
      </x:c>
      <x:c r="F12" s="52" t="n">
        <x:v>46297</x:v>
      </x:c>
      <x:c r="G12" s="52" t="n">
        <x:v>46297</x:v>
      </x:c>
      <x:c r="H12" s="53" t="n">
        <x:f>G12-F12+1</x:f>
        <x:v>1</x:v>
      </x:c>
      <x:c r="I12" s="54" t="n">
        <x:f>G12-WEEKDAY(G12,2)+1</x:f>
        <x:v>46293</x:v>
      </x:c>
      <x:c r="J12" s="51" t="str">
        <x:v>LM-04; LM-05</x:v>
      </x:c>
      <x:c r="K12" s="51" t="str">
        <x:v>Acta o aprobación formal</x:v>
      </x:c>
      <x:c r="L12" s="51" t="str">
        <x:v>Aprobación escrita del modelo y criterios para las cuatro etapas de la primera entrega</x:v>
      </x:c>
      <x:c r="M12" s="51" t="str">
        <x:v>Cliente / producto</x:v>
      </x:c>
      <x:c r="N12" s="51" t="str"/>
      <x:c r="O12" s="51" t="str">
        <x:v>La política de usuarios y permisos tiene aprobación separada; fecha exigente</x:v>
      </x:c>
    </x:row>
    <x:row r="13" ht="26" customHeight="1">
      <x:c r="A13" s="28" t="str">
        <x:v>PA-01</x:v>
      </x:c>
      <x:c r="B13" s="28" t="str">
        <x:v>Preparación de ambiente de trabajo</x:v>
      </x:c>
      <x:c r="C13" s="28" t="str">
        <x:v>Revisión de arquitectura, ambientes y seguridad</x:v>
      </x:c>
      <x:c r="D13" s="28" t="str">
        <x:v>Actividad</x:v>
      </x:c>
      <x:c r="E13" s="28" t="str">
        <x:v>Propuesto</x:v>
      </x:c>
      <x:c r="F13" s="45" t="n">
        <x:v>46293</x:v>
      </x:c>
      <x:c r="G13" s="45" t="n">
        <x:v>46304</x:v>
      </x:c>
      <x:c r="H13" s="40" t="n">
        <x:f>G13-F13+1</x:f>
        <x:v>12</x:v>
      </x:c>
      <x:c r="I13" s="41" t="n">
        <x:f>G13-WEEKDAY(G13,2)+1</x:f>
        <x:v>46300</x:v>
      </x:c>
      <x:c r="J13" s="28" t="str">
        <x:v>LM-04 (definición parcial)</x:v>
      </x:c>
      <x:c r="K13" s="28" t="str">
        <x:v>Arquitectura y ambientes definidos</x:v>
      </x:c>
      <x:c r="L13" s="28" t="str">
        <x:v>Arquitectura, DEV/QA/PROD, identidad, sesiones y controles de acceso documentados</x:v>
      </x:c>
      <x:c r="M13" s="28" t="str">
        <x:v>Líder técnico</x:v>
      </x:c>
      <x:c r="N13" s="32" t="str"/>
      <x:c r="O13" s="28" t="str">
        <x:v>Puede avanzar en paralelo; política de acceso se aprueba en UA-01</x:v>
      </x:c>
    </x:row>
    <x:row r="14" ht="26" customHeight="1">
      <x:c r="A14" s="28" t="str">
        <x:v>PA-02</x:v>
      </x:c>
      <x:c r="B14" s="28" t="str">
        <x:v>Preparación de ambiente de trabajo</x:v>
      </x:c>
      <x:c r="C14" s="28" t="str">
        <x:v>Configuración IDE</x:v>
      </x:c>
      <x:c r="D14" s="28" t="str">
        <x:v>Actividad</x:v>
      </x:c>
      <x:c r="E14" s="28" t="str">
        <x:v>Propuesto</x:v>
      </x:c>
      <x:c r="F14" s="45" t="n">
        <x:v>46300</x:v>
      </x:c>
      <x:c r="G14" s="45" t="n">
        <x:v>46304</x:v>
      </x:c>
      <x:c r="H14" s="40" t="n">
        <x:f>G14-F14+1</x:f>
        <x:v>5</x:v>
      </x:c>
      <x:c r="I14" s="41" t="n">
        <x:f>G14-WEEKDAY(G14,2)+1</x:f>
        <x:v>46300</x:v>
      </x:c>
      <x:c r="J14" s="28" t="str">
        <x:v>PA-01</x:v>
      </x:c>
      <x:c r="K14" s="28" t="str">
        <x:v>Entorno local de desarrollo</x:v>
      </x:c>
      <x:c r="L14" s="28" t="str">
        <x:v>Proyecto abre y ejecuta comprobaciones básicas en equipo de desarrollo</x:v>
      </x:c>
      <x:c r="M14" s="28" t="str">
        <x:v>Equipo desarrollo</x:v>
      </x:c>
      <x:c r="N14" s="32" t="str"/>
      <x:c r="O14" s="28" t="str"/>
    </x:row>
    <x:row r="15" ht="26" customHeight="1">
      <x:c r="A15" s="28" t="str">
        <x:v>PA-03</x:v>
      </x:c>
      <x:c r="B15" s="28" t="str">
        <x:v>Preparación de ambiente de trabajo</x:v>
      </x:c>
      <x:c r="C15" s="28" t="str">
        <x:v>Instalaciòn de librerias backend y frontend</x:v>
      </x:c>
      <x:c r="D15" s="28" t="str">
        <x:v>Actividad</x:v>
      </x:c>
      <x:c r="E15" s="28" t="str">
        <x:v>Propuesto</x:v>
      </x:c>
      <x:c r="F15" s="45" t="n">
        <x:v>46302</x:v>
      </x:c>
      <x:c r="G15" s="45" t="n">
        <x:v>46311</x:v>
      </x:c>
      <x:c r="H15" s="40" t="n">
        <x:f>G15-F15+1</x:f>
        <x:v>10</x:v>
      </x:c>
      <x:c r="I15" s="41" t="n">
        <x:f>G15-WEEKDAY(G15,2)+1</x:f>
        <x:v>46307</x:v>
      </x:c>
      <x:c r="J15" s="28" t="str">
        <x:v>PA-01</x:v>
      </x:c>
      <x:c r="K15" s="28" t="str">
        <x:v>Dependencias fijadas</x:v>
      </x:c>
      <x:c r="L15" s="28" t="str">
        <x:v>Backend y frontend instalan y ejecutan pruebas/build reproducibles</x:v>
      </x:c>
      <x:c r="M15" s="28" t="str">
        <x:v>Equipo desarrollo</x:v>
      </x:c>
      <x:c r="N15" s="32" t="str"/>
      <x:c r="O15" s="28" t="str">
        <x:v>Versiones y licencias se aprobarán en arquitectura</x:v>
      </x:c>
    </x:row>
    <x:row r="16" ht="26" customHeight="1">
      <x:c r="A16" s="28" t="str">
        <x:v>PA-04</x:v>
      </x:c>
      <x:c r="B16" s="28" t="str">
        <x:v>Preparación de ambiente de trabajo</x:v>
      </x:c>
      <x:c r="C16" s="28" t="str">
        <x:v>Construcción de repositorio del proyecto en Github</x:v>
      </x:c>
      <x:c r="D16" s="28" t="str">
        <x:v>Actividad</x:v>
      </x:c>
      <x:c r="E16" s="28" t="str">
        <x:v>Propuesto</x:v>
      </x:c>
      <x:c r="F16" s="45" t="n">
        <x:v>46300</x:v>
      </x:c>
      <x:c r="G16" s="45" t="n">
        <x:v>46311</x:v>
      </x:c>
      <x:c r="H16" s="40" t="n">
        <x:f>G16-F16+1</x:f>
        <x:v>12</x:v>
      </x:c>
      <x:c r="I16" s="41" t="n">
        <x:f>G16-WEEKDAY(G16,2)+1</x:f>
        <x:v>46307</x:v>
      </x:c>
      <x:c r="J16" s="28" t="str">
        <x:v>PA-01</x:v>
      </x:c>
      <x:c r="K16" s="28" t="str">
        <x:v>Repositorio remoto privado</x:v>
      </x:c>
      <x:c r="L16" s="28" t="str">
        <x:v>Historial local publicado; acceso, ramas y protección definidos</x:v>
      </x:c>
      <x:c r="M16" s="28" t="str">
        <x:v>Líder técnico</x:v>
      </x:c>
      <x:c r="N16" s="32" t="str"/>
      <x:c r="O16" s="28" t="str">
        <x:v>No crear el remoto hasta definir cuenta y permisos</x:v>
      </x:c>
    </x:row>
    <x:row r="17" ht="26" customHeight="1">
      <x:c r="A17" s="51" t="str">
        <x:v>PA-H2</x:v>
      </x:c>
      <x:c r="B17" s="51" t="str">
        <x:v>Preparación de ambiente de trabajo</x:v>
      </x:c>
      <x:c r="C17" s="51" t="str">
        <x:v>Hito: ambiente de trabajo operativo</x:v>
      </x:c>
      <x:c r="D17" s="51" t="str">
        <x:v>Hito</x:v>
      </x:c>
      <x:c r="E17" s="51" t="str">
        <x:v>Propuesto</x:v>
      </x:c>
      <x:c r="F17" s="52" t="n">
        <x:v>46311</x:v>
      </x:c>
      <x:c r="G17" s="52" t="n">
        <x:v>46311</x:v>
      </x:c>
      <x:c r="H17" s="53" t="n">
        <x:f>G17-F17+1</x:f>
        <x:v>1</x:v>
      </x:c>
      <x:c r="I17" s="54" t="n">
        <x:f>G17-WEEKDAY(G17,2)+1</x:f>
        <x:v>46307</x:v>
      </x:c>
      <x:c r="J17" s="51" t="str">
        <x:v>PA-02; PA-03; PA-04</x:v>
      </x:c>
      <x:c r="K17" s="51" t="str">
        <x:v>Base técnica operativa</x:v>
      </x:c>
      <x:c r="L17" s="51" t="str">
        <x:v>Repositorio, dependencias, DEV y automatizaciones mínimas verificadas</x:v>
      </x:c>
      <x:c r="M17" s="51" t="str">
        <x:v>Líder técnico</x:v>
      </x:c>
      <x:c r="N17" s="51" t="str"/>
      <x:c r="O17" s="51" t="str"/>
    </x:row>
    <x:row r="18" ht="26" customHeight="1">
      <x:c r="A18" s="28" t="str">
        <x:v>CO-01</x:v>
      </x:c>
      <x:c r="B18" s="28" t="str">
        <x:v>Construcción</x:v>
      </x:c>
      <x:c r="C18" s="28" t="str">
        <x:v>Proyecto</x:v>
      </x:c>
      <x:c r="D18" s="28" t="str">
        <x:v>Actividad</x:v>
      </x:c>
      <x:c r="E18" s="28" t="str">
        <x:v>Propuesto</x:v>
      </x:c>
      <x:c r="F18" s="45" t="n">
        <x:v>46314</x:v>
      </x:c>
      <x:c r="G18" s="45" t="n">
        <x:v>46325</x:v>
      </x:c>
      <x:c r="H18" s="40" t="n">
        <x:f>G18-F18+1</x:f>
        <x:v>12</x:v>
      </x:c>
      <x:c r="I18" s="41" t="n">
        <x:f>G18-WEEKDAY(G18,2)+1</x:f>
        <x:v>46321</x:v>
      </x:c>
      <x:c r="J18" s="28" t="str">
        <x:v>PA-H2</x:v>
      </x:c>
      <x:c r="K18" s="28" t="str">
        <x:v>Módulo Proyecto</x:v>
      </x:c>
      <x:c r="L18" s="28" t="str">
        <x:v>Crear, consultar y configurar proyecto según modelo aprobado; pruebas pasan</x:v>
      </x:c>
      <x:c r="M18" s="28" t="str">
        <x:v>Equipo desarrollo</x:v>
      </x:c>
      <x:c r="N18" s="32" t="str"/>
      <x:c r="O18" s="28" t="str">
        <x:v>Incluye formulario, API y reglas</x:v>
      </x:c>
    </x:row>
    <x:row r="19" ht="26" customHeight="1">
      <x:c r="A19" s="28" t="str">
        <x:v>CO-02</x:v>
      </x:c>
      <x:c r="B19" s="28" t="str">
        <x:v>Construcción</x:v>
      </x:c>
      <x:c r="C19" s="28" t="str">
        <x:v>Activos</x:v>
      </x:c>
      <x:c r="D19" s="28" t="str">
        <x:v>Actividad</x:v>
      </x:c>
      <x:c r="E19" s="28" t="str">
        <x:v>Propuesto</x:v>
      </x:c>
      <x:c r="F19" s="45" t="n">
        <x:v>46321</x:v>
      </x:c>
      <x:c r="G19" s="45" t="n">
        <x:v>46339</x:v>
      </x:c>
      <x:c r="H19" s="40" t="n">
        <x:f>G19-F19+1</x:f>
        <x:v>19</x:v>
      </x:c>
      <x:c r="I19" s="41" t="n">
        <x:f>G19-WEEKDAY(G19,2)+1</x:f>
        <x:v>46335</x:v>
      </x:c>
      <x:c r="J19" s="28" t="str">
        <x:v>CO-01</x:v>
      </x:c>
      <x:c r="K19" s="28" t="str">
        <x:v>Módulo Activos</x:v>
      </x:c>
      <x:c r="L19" s="28" t="str">
        <x:v>Crear, consultar, clasificar y vincular TAG a proyecto sin fuga entre proyectos</x:v>
      </x:c>
      <x:c r="M19" s="28" t="str">
        <x:v>Equipo desarrollo</x:v>
      </x:c>
      <x:c r="N19" s="32" t="str"/>
      <x:c r="O19" s="28" t="str">
        <x:v>Incluye formulario, API y reglas</x:v>
      </x:c>
    </x:row>
    <x:row r="20" ht="26" customHeight="1">
      <x:c r="A20" s="28" t="str">
        <x:v>CO-03</x:v>
      </x:c>
      <x:c r="B20" s="28" t="str">
        <x:v>Construcción</x:v>
      </x:c>
      <x:c r="C20" s="28" t="str">
        <x:v>Etapas y Especialidades</x:v>
      </x:c>
      <x:c r="D20" s="28" t="str">
        <x:v>Actividad</x:v>
      </x:c>
      <x:c r="E20" s="28" t="str">
        <x:v>Propuesto</x:v>
      </x:c>
      <x:c r="F20" s="45" t="n">
        <x:v>46335</x:v>
      </x:c>
      <x:c r="G20" s="45" t="n">
        <x:v>46353</x:v>
      </x:c>
      <x:c r="H20" s="40" t="n">
        <x:f>G20-F20+1</x:f>
        <x:v>19</x:v>
      </x:c>
      <x:c r="I20" s="41" t="n">
        <x:f>G20-WEEKDAY(G20,2)+1</x:f>
        <x:v>46349</x:v>
      </x:c>
      <x:c r="J20" s="28" t="str">
        <x:v>CO-01; CO-02</x:v>
      </x:c>
      <x:c r="K20" s="28" t="str">
        <x:v>Configuración de etapas</x:v>
      </x:c>
      <x:c r="L20" s="28" t="str">
        <x:v>Proyecto presenta TM, Precom, Com y PEM y cuatro especialidades aprobadas</x:v>
      </x:c>
      <x:c r="M20" s="28" t="str">
        <x:v>Equipo desarrollo</x:v>
      </x:c>
      <x:c r="N20" s="32" t="str"/>
      <x:c r="O20" s="28" t="str">
        <x:v>La operación específica de cada etapa está en CO-16 a CO-20</x:v>
      </x:c>
    </x:row>
    <x:row r="21" ht="26" customHeight="1">
      <x:c r="A21" s="28" t="str">
        <x:v>CO-04</x:v>
      </x:c>
      <x:c r="B21" s="28" t="str">
        <x:v>Construcción</x:v>
      </x:c>
      <x:c r="C21" s="28" t="str">
        <x:v>Puntos de Control y aplicabilidad</x:v>
      </x:c>
      <x:c r="D21" s="28" t="str">
        <x:v>Actividad</x:v>
      </x:c>
      <x:c r="E21" s="28" t="str">
        <x:v>Propuesto</x:v>
      </x:c>
      <x:c r="F21" s="45" t="n">
        <x:v>46349</x:v>
      </x:c>
      <x:c r="G21" s="45" t="n">
        <x:v>46374</x:v>
      </x:c>
      <x:c r="H21" s="40" t="n">
        <x:f>G21-F21+1</x:f>
        <x:v>26</x:v>
      </x:c>
      <x:c r="I21" s="41" t="n">
        <x:f>G21-WEEKDAY(G21,2)+1</x:f>
        <x:v>46370</x:v>
      </x:c>
      <x:c r="J21" s="28" t="str">
        <x:v>CO-02; CO-03</x:v>
      </x:c>
      <x:c r="K21" s="28" t="str">
        <x:v>Catálogo y asignación de controles</x:v>
      </x:c>
      <x:c r="L21" s="28" t="str">
        <x:v>Controles por etapa/especialidad; aplicabilidad/N-A por activo; reglas probadas</x:v>
      </x:c>
      <x:c r="M21" s="28" t="str">
        <x:v>Equipo desarrollo</x:v>
      </x:c>
      <x:c r="N21" s="32" t="str"/>
      <x:c r="O21" s="28" t="str">
        <x:v>Catálogo único pendiente de validación</x:v>
      </x:c>
    </x:row>
    <x:row r="22" ht="26" customHeight="1">
      <x:c r="A22" s="28" t="str">
        <x:v>CO-05</x:v>
      </x:c>
      <x:c r="B22" s="28" t="str">
        <x:v>Construcción</x:v>
      </x:c>
      <x:c r="C22" s="28" t="str">
        <x:v>Resultados , protocolos y evidencias</x:v>
      </x:c>
      <x:c r="D22" s="28" t="str">
        <x:v>Actividad</x:v>
      </x:c>
      <x:c r="E22" s="28" t="str">
        <x:v>Propuesto</x:v>
      </x:c>
      <x:c r="F22" s="45" t="n">
        <x:v>46370</x:v>
      </x:c>
      <x:c r="G22" s="45" t="n">
        <x:v>46402</x:v>
      </x:c>
      <x:c r="H22" s="40" t="n">
        <x:f>G22-F22+1</x:f>
        <x:v>33</x:v>
      </x:c>
      <x:c r="I22" s="41" t="n">
        <x:f>G22-WEEKDAY(G22,2)+1</x:f>
        <x:v>46398</x:v>
      </x:c>
      <x:c r="J22" s="28" t="str">
        <x:v>CO-04</x:v>
      </x:c>
      <x:c r="K22" s="28" t="str">
        <x:v>Registro y evidencia TM</x:v>
      </x:c>
      <x:c r="L22" s="28" t="str">
        <x:v>Resultado, protocolo y versión documental vinculados a activo/control</x:v>
      </x:c>
      <x:c r="M22" s="28" t="str">
        <x:v>Equipo desarrollo</x:v>
      </x:c>
      <x:c r="N22" s="32" t="str"/>
      <x:c r="O22" s="28" t="str">
        <x:v>Considerar disponibilidad en diciembre/enero</x:v>
      </x:c>
    </x:row>
    <x:row r="23" ht="26" customHeight="1">
      <x:c r="A23" s="28" t="str">
        <x:v>CO-06</x:v>
      </x:c>
      <x:c r="B23" s="28" t="str">
        <x:v>Construcción</x:v>
      </x:c>
      <x:c r="C23" s="28" t="str">
        <x:v>Aprobaciones, entregas y traspasos</x:v>
      </x:c>
      <x:c r="D23" s="28" t="str">
        <x:v>Actividad</x:v>
      </x:c>
      <x:c r="E23" s="28" t="str">
        <x:v>Propuesto</x:v>
      </x:c>
      <x:c r="F23" s="45" t="n">
        <x:v>46391</x:v>
      </x:c>
      <x:c r="G23" s="45" t="n">
        <x:v>46416</x:v>
      </x:c>
      <x:c r="H23" s="40" t="n">
        <x:f>G23-F23+1</x:f>
        <x:v>26</x:v>
      </x:c>
      <x:c r="I23" s="41" t="n">
        <x:f>G23-WEEKDAY(G23,2)+1</x:f>
        <x:v>46412</x:v>
      </x:c>
      <x:c r="J23" s="28" t="str">
        <x:v>CO-04; CO-05</x:v>
      </x:c>
      <x:c r="K23" s="28" t="str">
        <x:v>Base de aprobación y traspasos</x:v>
      </x:c>
      <x:c r="L23" s="28" t="str">
        <x:v>Líder aprueba/rechaza; entrega creada; receptor acepta/rechaza; historial conservado</x:v>
      </x:c>
      <x:c r="M23" s="28" t="str">
        <x:v>Equipo desarrollo</x:v>
      </x:c>
      <x:c r="N23" s="32" t="str"/>
      <x:c r="O23" s="28" t="str">
        <x:v>Incluye TM → Precom; los otros gates están en CO-19</x:v>
      </x:c>
    </x:row>
    <x:row r="24" ht="26" customHeight="1">
      <x:c r="A24" s="28" t="str">
        <x:v>CO-16</x:v>
      </x:c>
      <x:c r="B24" s="28" t="str">
        <x:v>Construcción</x:v>
      </x:c>
      <x:c r="C24" s="28" t="str">
        <x:v>Operación completa de Precomisionamiento</x:v>
      </x:c>
      <x:c r="D24" s="28" t="str">
        <x:v>Actividad</x:v>
      </x:c>
      <x:c r="E24" s="28" t="str">
        <x:v>Propuesto</x:v>
      </x:c>
      <x:c r="F24" s="45" t="n">
        <x:v>46349</x:v>
      </x:c>
      <x:c r="G24" s="45" t="n">
        <x:v>46402</x:v>
      </x:c>
      <x:c r="H24" s="40" t="n">
        <x:f>G24-F24+1</x:f>
        <x:v>54</x:v>
      </x:c>
      <x:c r="I24" s="41" t="n">
        <x:f>G24-WEEKDAY(G24,2)+1</x:f>
        <x:v>46398</x:v>
      </x:c>
      <x:c r="J24" s="28" t="str">
        <x:v>LM-05; CO-03; CO-04 (entrega parcial)</x:v>
      </x:c>
      <x:c r="K24" s="28" t="str">
        <x:v>Etapa Precomisionamiento operativa</x:v>
      </x:c>
      <x:c r="L24" s="28" t="str">
        <x:v>Activos recibidos tienen línea base, controles, caminatas, resultados, evidencias, estados y aprobación según reglas validadas</x:v>
      </x:c>
      <x:c r="M24" s="28" t="str">
        <x:v>Equipo desarrollo</x:v>
      </x:c>
      <x:c r="N24" s="32" t="str"/>
      <x:c r="O24" s="28" t="str">
        <x:v>Definición cliente y equipo paralelo son condiciones para estas fechas</x:v>
      </x:c>
    </x:row>
    <x:row r="25" ht="26" customHeight="1">
      <x:c r="A25" s="28" t="str">
        <x:v>CO-17</x:v>
      </x:c>
      <x:c r="B25" s="28" t="str">
        <x:v>Construcción</x:v>
      </x:c>
      <x:c r="C25" s="28" t="str">
        <x:v>Operación completa de Comisionamiento</x:v>
      </x:c>
      <x:c r="D25" s="28" t="str">
        <x:v>Actividad</x:v>
      </x:c>
      <x:c r="E25" s="28" t="str">
        <x:v>Propuesto</x:v>
      </x:c>
      <x:c r="F25" s="45" t="n">
        <x:v>46363</x:v>
      </x:c>
      <x:c r="G25" s="45" t="n">
        <x:v>46409</x:v>
      </x:c>
      <x:c r="H25" s="40" t="n">
        <x:f>G25-F25+1</x:f>
        <x:v>47</x:v>
      </x:c>
      <x:c r="I25" s="41" t="n">
        <x:f>G25-WEEKDAY(G25,2)+1</x:f>
        <x:v>46405</x:v>
      </x:c>
      <x:c r="J25" s="28" t="str">
        <x:v>LM-05; CO-03; CO-04 (entrega parcial)</x:v>
      </x:c>
      <x:c r="K25" s="28" t="str">
        <x:v>Etapa Comisionamiento operativa</x:v>
      </x:c>
      <x:c r="L25" s="28" t="str">
        <x:v>Activos recibidos tienen línea base, controles, caminatas, resultados, evidencias, estados y aprobación según reglas validadas</x:v>
      </x:c>
      <x:c r="M25" s="28" t="str">
        <x:v>Equipo desarrollo</x:v>
      </x:c>
      <x:c r="N25" s="32" t="str"/>
      <x:c r="O25" s="28" t="str">
        <x:v>No reducir la etapa a una pantalla de transferencia</x:v>
      </x:c>
    </x:row>
    <x:row r="26" ht="26" customHeight="1">
      <x:c r="A26" s="28" t="str">
        <x:v>CO-18</x:v>
      </x:c>
      <x:c r="B26" s="28" t="str">
        <x:v>Construcción</x:v>
      </x:c>
      <x:c r="C26" s="28" t="str">
        <x:v>Operación completa de PEM</x:v>
      </x:c>
      <x:c r="D26" s="28" t="str">
        <x:v>Actividad</x:v>
      </x:c>
      <x:c r="E26" s="28" t="str">
        <x:v>Propuesto</x:v>
      </x:c>
      <x:c r="F26" s="45" t="n">
        <x:v>46370</x:v>
      </x:c>
      <x:c r="G26" s="45" t="n">
        <x:v>46416</x:v>
      </x:c>
      <x:c r="H26" s="40" t="n">
        <x:f>G26-F26+1</x:f>
        <x:v>47</x:v>
      </x:c>
      <x:c r="I26" s="41" t="n">
        <x:f>G26-WEEKDAY(G26,2)+1</x:f>
        <x:v>46412</x:v>
      </x:c>
      <x:c r="J26" s="28" t="str">
        <x:v>LM-05; CO-03; CO-04 (entrega parcial)</x:v>
      </x:c>
      <x:c r="K26" s="28" t="str">
        <x:v>Etapa PEM operativa</x:v>
      </x:c>
      <x:c r="L26" s="28" t="str">
        <x:v>Activos recibidos tienen línea base, controles, caminatas, resultados, evidencias, estados y aprobación según reglas validadas</x:v>
      </x:c>
      <x:c r="M26" s="28" t="str">
        <x:v>Equipo desarrollo</x:v>
      </x:c>
      <x:c r="N26" s="32" t="str"/>
      <x:c r="O26" s="28" t="str">
        <x:v>Definir cierre y traspaso a Operaciones con el cliente</x:v>
      </x:c>
    </x:row>
    <x:row r="27" ht="26" customHeight="1">
      <x:c r="A27" s="28" t="str">
        <x:v>CO-19</x:v>
      </x:c>
      <x:c r="B27" s="28" t="str">
        <x:v>Construcción</x:v>
      </x:c>
      <x:c r="C27" s="28" t="str">
        <x:v>Traspasos Precom → Com y Com → PEM</x:v>
      </x:c>
      <x:c r="D27" s="28" t="str">
        <x:v>Actividad</x:v>
      </x:c>
      <x:c r="E27" s="28" t="str">
        <x:v>Propuesto</x:v>
      </x:c>
      <x:c r="F27" s="45" t="n">
        <x:v>46391</x:v>
      </x:c>
      <x:c r="G27" s="45" t="n">
        <x:v>46416</x:v>
      </x:c>
      <x:c r="H27" s="40" t="n">
        <x:f>G27-F27+1</x:f>
        <x:v>26</x:v>
      </x:c>
      <x:c r="I27" s="41" t="n">
        <x:f>G27-WEEKDAY(G27,2)+1</x:f>
        <x:v>46412</x:v>
      </x:c>
      <x:c r="J27" s="28" t="str">
        <x:v>LM-05; CO-16; CO-17; CO-18 (entregas parciales)</x:v>
      </x:c>
      <x:c r="K27" s="28" t="str">
        <x:v>Dos gates adicionales</x:v>
      </x:c>
      <x:c r="L27" s="28" t="str">
        <x:v>Cada gate valida elegibilidad, aprobación, entrega, aceptación/rechazo, retorno y trazabilidad según reglas aprobadas</x:v>
      </x:c>
      <x:c r="M27" s="28" t="str">
        <x:v>Equipo desarrollo</x:v>
      </x:c>
      <x:c r="N27" s="32" t="str"/>
      <x:c r="O27" s="28" t="str">
        <x:v>Misma mecánica conceptual que TM → Precom; reglas concretas por validar</x:v>
      </x:c>
    </x:row>
    <x:row r="28" ht="26" customHeight="1">
      <x:c r="A28" s="28" t="str">
        <x:v>CO-20</x:v>
      </x:c>
      <x:c r="B28" s="28" t="str">
        <x:v>Construcción</x:v>
      </x:c>
      <x:c r="C28" s="28" t="str">
        <x:v>Resultados, protocolos y evidencias de Comisionamiento y PEM</x:v>
      </x:c>
      <x:c r="D28" s="28" t="str">
        <x:v>Actividad</x:v>
      </x:c>
      <x:c r="E28" s="28" t="str">
        <x:v>Propuesto</x:v>
      </x:c>
      <x:c r="F28" s="45" t="n">
        <x:v>46391</x:v>
      </x:c>
      <x:c r="G28" s="45" t="n">
        <x:v>46416</x:v>
      </x:c>
      <x:c r="H28" s="40" t="n">
        <x:f>G28-F28+1</x:f>
        <x:v>26</x:v>
      </x:c>
      <x:c r="I28" s="41" t="n">
        <x:f>G28-WEEKDAY(G28,2)+1</x:f>
        <x:v>46412</x:v>
      </x:c>
      <x:c r="J28" s="28" t="str">
        <x:v>LM-05; CO-17; CO-18 (entregas parciales)</x:v>
      </x:c>
      <x:c r="K28" s="28" t="str">
        <x:v>Registro documental por etapa</x:v>
      </x:c>
      <x:c r="L28" s="28" t="str">
        <x:v>Controles de Com y PEM registran resultados y evidencias con versiones, responsable y permisos definidos</x:v>
      </x:c>
      <x:c r="M28" s="28" t="str">
        <x:v>Equipo desarrollo</x:v>
      </x:c>
      <x:c r="N28" s="32" t="str"/>
      <x:c r="O28" s="28" t="str">
        <x:v>Precom se cubre en CO-16; validar diferencias por etapa</x:v>
      </x:c>
    </x:row>
    <x:row r="29" ht="26" customHeight="1">
      <x:c r="A29" s="28" t="str">
        <x:v>CO-07</x:v>
      </x:c>
      <x:c r="B29" s="28" t="str">
        <x:v>Construcción</x:v>
      </x:c>
      <x:c r="C29" s="28" t="str">
        <x:v>Diseño de formularios</x:v>
      </x:c>
      <x:c r="D29" s="28" t="str">
        <x:v>Transversal</x:v>
      </x:c>
      <x:c r="E29" s="28" t="str">
        <x:v>Propuesto</x:v>
      </x:c>
      <x:c r="F29" s="45" t="n">
        <x:v>46314</x:v>
      </x:c>
      <x:c r="G29" s="45" t="n">
        <x:v>46416</x:v>
      </x:c>
      <x:c r="H29" s="40" t="n">
        <x:f>G29-F29+1</x:f>
        <x:v>103</x:v>
      </x:c>
      <x:c r="I29" s="41" t="n">
        <x:f>G29-WEEKDAY(G29,2)+1</x:f>
        <x:v>46412</x:v>
      </x:c>
      <x:c r="J29" s="28" t="str">
        <x:v>CO-01 a CO-20</x:v>
      </x:c>
      <x:c r="K29" s="28" t="str">
        <x:v>Formularios por componente</x:v>
      </x:c>
      <x:c r="L29" s="28" t="str">
        <x:v>Las cuatro etapas y los módulos base disponen de campos, validaciones y navegación aprobados</x:v>
      </x:c>
      <x:c r="M29" s="28" t="str">
        <x:v>Diseño UX / desarrollo</x:v>
      </x:c>
      <x:c r="N29" s="32" t="str"/>
      <x:c r="O29" s="28" t="str">
        <x:v>Actividad transversal dentro de cada módulo</x:v>
      </x:c>
    </x:row>
    <x:row r="30" ht="26" customHeight="1">
      <x:c r="A30" s="28" t="str">
        <x:v>CO-08</x:v>
      </x:c>
      <x:c r="B30" s="28" t="str">
        <x:v>Construcción</x:v>
      </x:c>
      <x:c r="C30" s="28" t="str">
        <x:v>Construcciòn de APIs</x:v>
      </x:c>
      <x:c r="D30" s="28" t="str">
        <x:v>Transversal</x:v>
      </x:c>
      <x:c r="E30" s="28" t="str">
        <x:v>Propuesto</x:v>
      </x:c>
      <x:c r="F30" s="45" t="n">
        <x:v>46314</x:v>
      </x:c>
      <x:c r="G30" s="45" t="n">
        <x:v>46416</x:v>
      </x:c>
      <x:c r="H30" s="40" t="n">
        <x:f>G30-F30+1</x:f>
        <x:v>103</x:v>
      </x:c>
      <x:c r="I30" s="41" t="n">
        <x:f>G30-WEEKDAY(G30,2)+1</x:f>
        <x:v>46412</x:v>
      </x:c>
      <x:c r="J30" s="28" t="str">
        <x:v>CO-01 a CO-20</x:v>
      </x:c>
      <x:c r="K30" s="28" t="str">
        <x:v>APIs por componente</x:v>
      </x:c>
      <x:c r="L30" s="28" t="str">
        <x:v>Operaciones y errores de las cuatro etapas documentados; pruebas de integración pasan</x:v>
      </x:c>
      <x:c r="M30" s="28" t="str">
        <x:v>Equipo backend</x:v>
      </x:c>
      <x:c r="N30" s="32" t="str"/>
      <x:c r="O30" s="28" t="str">
        <x:v>Actividad transversal dentro de cada módulo</x:v>
      </x:c>
    </x:row>
    <x:row r="31" ht="26" customHeight="1">
      <x:c r="A31" s="28" t="str">
        <x:v>CO-09</x:v>
      </x:c>
      <x:c r="B31" s="28" t="str">
        <x:v>Construcción</x:v>
      </x:c>
      <x:c r="C31" s="28" t="str">
        <x:v>Construcciòn de reglas de negocio</x:v>
      </x:c>
      <x:c r="D31" s="28" t="str">
        <x:v>Transversal</x:v>
      </x:c>
      <x:c r="E31" s="28" t="str">
        <x:v>Propuesto</x:v>
      </x:c>
      <x:c r="F31" s="45" t="n">
        <x:v>46314</x:v>
      </x:c>
      <x:c r="G31" s="45" t="n">
        <x:v>46416</x:v>
      </x:c>
      <x:c r="H31" s="40" t="n">
        <x:f>G31-F31+1</x:f>
        <x:v>103</x:v>
      </x:c>
      <x:c r="I31" s="41" t="n">
        <x:f>G31-WEEKDAY(G31,2)+1</x:f>
        <x:v>46412</x:v>
      </x:c>
      <x:c r="J31" s="28" t="str">
        <x:v>CO-01 a CO-20</x:v>
      </x:c>
      <x:c r="K31" s="28" t="str">
        <x:v>Reglas versionadas</x:v>
      </x:c>
      <x:c r="L31" s="28" t="str">
        <x:v>Elegibilidad, cálculos y transiciones de las cuatro etapas coinciden con decisiones aprobadas</x:v>
      </x:c>
      <x:c r="M31" s="28" t="str">
        <x:v>Equipo backend / producto</x:v>
      </x:c>
      <x:c r="N31" s="32" t="str"/>
      <x:c r="O31" s="28" t="str">
        <x:v>Actividad transversal dentro de cada módulo</x:v>
      </x:c>
    </x:row>
    <x:row r="32" ht="26" customHeight="1">
      <x:c r="A32" s="51" t="str">
        <x:v>CO-H3</x:v>
      </x:c>
      <x:c r="B32" s="51" t="str">
        <x:v>Construcción</x:v>
      </x:c>
      <x:c r="C32" s="51" t="str">
        <x:v>Hito: flujo operacional integrado</x:v>
      </x:c>
      <x:c r="D32" s="51" t="str">
        <x:v>Hito</x:v>
      </x:c>
      <x:c r="E32" s="51" t="str">
        <x:v>Propuesto</x:v>
      </x:c>
      <x:c r="F32" s="52" t="n">
        <x:v>46416</x:v>
      </x:c>
      <x:c r="G32" s="52" t="n">
        <x:v>46416</x:v>
      </x:c>
      <x:c r="H32" s="53" t="n">
        <x:f>G32-F32+1</x:f>
        <x:v>1</x:v>
      </x:c>
      <x:c r="I32" s="54" t="n">
        <x:f>G32-WEEKDAY(G32,2)+1</x:f>
        <x:v>46412</x:v>
      </x:c>
      <x:c r="J32" s="51" t="str">
        <x:v>CO-01 a CO-20 (sin permisos finales)</x:v>
      </x:c>
      <x:c r="K32" s="51" t="str">
        <x:v>Demostración extremo a extremo</x:v>
      </x:c>
      <x:c r="L32" s="51" t="str">
        <x:v>El flujo TM → Precom → Com → PEM y los tres gates funcionan con identidades de prueba; la seguridad por objeto se integra después</x:v>
      </x:c>
      <x:c r="M32" s="51" t="str">
        <x:v>Líder técnico / producto</x:v>
      </x:c>
      <x:c r="N32" s="51" t="str"/>
      <x:c r="O32" s="51" t="str">
        <x:v>Hito funcional, no autorización para QA/PROD</x:v>
      </x:c>
    </x:row>
    <x:row r="33" ht="26" customHeight="1">
      <x:c r="A33" s="28" t="str">
        <x:v>RE-01</x:v>
      </x:c>
      <x:c r="B33" s="28" t="str">
        <x:v>Reprtabilidad</x:v>
      </x:c>
      <x:c r="C33" s="28" t="str">
        <x:v>Dashboards, reportes y repositorios</x:v>
      </x:c>
      <x:c r="D33" s="28" t="str">
        <x:v>Actividad</x:v>
      </x:c>
      <x:c r="E33" s="28" t="str">
        <x:v>Propuesto</x:v>
      </x:c>
      <x:c r="F33" s="45" t="n">
        <x:v>46398</x:v>
      </x:c>
      <x:c r="G33" s="45" t="n">
        <x:v>46423</x:v>
      </x:c>
      <x:c r="H33" s="40" t="n">
        <x:f>G33-F33+1</x:f>
        <x:v>26</x:v>
      </x:c>
      <x:c r="I33" s="41" t="n">
        <x:f>G33-WEEKDAY(G33,2)+1</x:f>
        <x:v>46419</x:v>
      </x:c>
      <x:c r="J33" s="28" t="str">
        <x:v>CO-04; CO-05; CO-16 a CO-20 (entregas parciales)</x:v>
      </x:c>
      <x:c r="K33" s="28" t="str">
        <x:v>Indicadores y repositorio</x:v>
      </x:c>
      <x:c r="L33" s="28" t="str">
        <x:v>Indicadores de las cuatro etapas son trazables a datos; filtros, repositorio y exportaciones funcionan con datos de prueba</x:v>
      </x:c>
      <x:c r="M33" s="28" t="str">
        <x:v>Equipo desarrollo</x:v>
      </x:c>
      <x:c r="N33" s="32" t="str"/>
      <x:c r="O33" s="28" t="str">
        <x:v>Título de fase preservado del plan aportado por el usuario</x:v>
      </x:c>
    </x:row>
    <x:row r="34" ht="26" customHeight="1">
      <x:c r="A34" s="51" t="str">
        <x:v>RE-H4</x:v>
      </x:c>
      <x:c r="B34" s="51" t="str">
        <x:v>Reprtabilidad</x:v>
      </x:c>
      <x:c r="C34" s="51" t="str">
        <x:v>Hito: reportabilidad validada</x:v>
      </x:c>
      <x:c r="D34" s="51" t="str">
        <x:v>Hito</x:v>
      </x:c>
      <x:c r="E34" s="51" t="str">
        <x:v>Propuesto</x:v>
      </x:c>
      <x:c r="F34" s="52" t="n">
        <x:v>46423</x:v>
      </x:c>
      <x:c r="G34" s="52" t="n">
        <x:v>46423</x:v>
      </x:c>
      <x:c r="H34" s="53" t="n">
        <x:f>G34-F34+1</x:f>
        <x:v>1</x:v>
      </x:c>
      <x:c r="I34" s="54" t="n">
        <x:f>G34-WEEKDAY(G34,2)+1</x:f>
        <x:v>46419</x:v>
      </x:c>
      <x:c r="J34" s="51" t="str">
        <x:v>RE-01</x:v>
      </x:c>
      <x:c r="K34" s="51" t="str">
        <x:v>Validación de indicadores</x:v>
      </x:c>
      <x:c r="L34" s="51" t="str">
        <x:v>Cliente confirma indicadores y reportes contra casos de prueba; los accesos se validan en UA-H2</x:v>
      </x:c>
      <x:c r="M34" s="51" t="str">
        <x:v>Cliente / producto</x:v>
      </x:c>
      <x:c r="N34" s="51" t="str"/>
      <x:c r="O34" s="51" t="str"/>
    </x:row>
    <x:row r="35" ht="26" customHeight="1">
      <x:c r="A35" s="28" t="str">
        <x:v>UA-01</x:v>
      </x:c>
      <x:c r="B35" s="28" t="str">
        <x:v>Usuarios y acceso a la plataforma</x:v>
      </x:c>
      <x:c r="C35" s="28" t="str">
        <x:v>Definir perfiles, permisos y alcance por componente</x:v>
      </x:c>
      <x:c r="D35" s="28" t="str">
        <x:v>Actividad</x:v>
      </x:c>
      <x:c r="E35" s="28" t="str">
        <x:v>Propuesto</x:v>
      </x:c>
      <x:c r="F35" s="45" t="n">
        <x:v>46426</x:v>
      </x:c>
      <x:c r="G35" s="45" t="n">
        <x:v>46437</x:v>
      </x:c>
      <x:c r="H35" s="40" t="n">
        <x:f>G35-F35+1</x:f>
        <x:v>12</x:v>
      </x:c>
      <x:c r="I35" s="41" t="n">
        <x:f>G35-WEEKDAY(G35,2)+1</x:f>
        <x:v>46433</x:v>
      </x:c>
      <x:c r="J35" s="28" t="str">
        <x:v>RE-H4</x:v>
      </x:c>
      <x:c r="K35" s="28" t="str">
        <x:v>Matriz de acceso de la plataforma</x:v>
      </x:c>
      <x:c r="L35" s="28" t="str">
        <x:v>El catálogo de objetos y reportes está construido; cliente valida matriz perfil × acción × objeto × alcance</x:v>
      </x:c>
      <x:c r="M35" s="28" t="str">
        <x:v>Cliente / producto</x:v>
      </x:c>
      <x:c r="N35" s="32" t="str"/>
      <x:c r="O35" s="28" t="str">
        <x:v>Confirmar herencia o restricción explícita; lectura sin edición; proyecto visible sin activos; usuarios externos; SSO/MFA</x:v>
      </x:c>
    </x:row>
    <x:row r="36" ht="26" customHeight="1">
      <x:c r="A36" s="28" t="str">
        <x:v>UA-02</x:v>
      </x:c>
      <x:c r="B36" s="28" t="str">
        <x:v>Usuarios y acceso a la plataforma</x:v>
      </x:c>
      <x:c r="C36" s="28" t="str">
        <x:v>Inicio de sesión, cierre y recuperación de acceso</x:v>
      </x:c>
      <x:c r="D36" s="28" t="str">
        <x:v>Actividad</x:v>
      </x:c>
      <x:c r="E36" s="28" t="str">
        <x:v>Propuesto</x:v>
      </x:c>
      <x:c r="F36" s="45" t="n">
        <x:v>46440</x:v>
      </x:c>
      <x:c r="G36" s="45" t="n">
        <x:v>46458</x:v>
      </x:c>
      <x:c r="H36" s="40" t="n">
        <x:f>G36-F36+1</x:f>
        <x:v>19</x:v>
      </x:c>
      <x:c r="I36" s="41" t="n">
        <x:f>G36-WEEKDAY(G36,2)+1</x:f>
        <x:v>46454</x:v>
      </x:c>
      <x:c r="J36" s="28" t="str">
        <x:v>UA-01</x:v>
      </x:c>
      <x:c r="K36" s="28" t="str">
        <x:v>Autenticación transversal</x:v>
      </x:c>
      <x:c r="L36" s="28" t="str">
        <x:v>Una identidad autentica toda la plataforma; sesión, cierre y recuperación operan</x:v>
      </x:c>
      <x:c r="M36" s="28" t="str">
        <x:v>Equipo backend / frontend</x:v>
      </x:c>
      <x:c r="N36" s="32" t="str"/>
      <x:c r="O36" s="28" t="str">
        <x:v>Una sola identidad para toda la plataforma, no para un módulo; estimación asume opción simple</x:v>
      </x:c>
    </x:row>
    <x:row r="37" ht="26" customHeight="1">
      <x:c r="A37" s="28" t="str">
        <x:v>UA-03</x:v>
      </x:c>
      <x:c r="B37" s="28" t="str">
        <x:v>Usuarios y acceso a la plataforma</x:v>
      </x:c>
      <x:c r="C37" s="28" t="str">
        <x:v>Administración de usuarios y perfiles</x:v>
      </x:c>
      <x:c r="D37" s="28" t="str">
        <x:v>Actividad</x:v>
      </x:c>
      <x:c r="E37" s="28" t="str">
        <x:v>Propuesto</x:v>
      </x:c>
      <x:c r="F37" s="45" t="n">
        <x:v>46440</x:v>
      </x:c>
      <x:c r="G37" s="45" t="n">
        <x:v>46465</x:v>
      </x:c>
      <x:c r="H37" s="40" t="n">
        <x:f>G37-F37+1</x:f>
        <x:v>26</x:v>
      </x:c>
      <x:c r="I37" s="41" t="n">
        <x:f>G37-WEEKDAY(G37,2)+1</x:f>
        <x:v>46461</x:v>
      </x:c>
      <x:c r="J37" s="28" t="str">
        <x:v>UA-01; UA-02 (entrega parcial)</x:v>
      </x:c>
      <x:c r="K37" s="28" t="str">
        <x:v>Gestión central de identidades</x:v>
      </x:c>
      <x:c r="L37" s="28" t="str">
        <x:v>Usuarios y perfiles centrales pueden crearse, desactivarse y revocarse</x:v>
      </x:c>
      <x:c r="M37" s="28" t="str">
        <x:v>Equipo backend / frontend</x:v>
      </x:c>
      <x:c r="N37" s="32" t="str"/>
      <x:c r="O37" s="28" t="str">
        <x:v>Perfiles globales; la aplicación a objetos se construye en cada componente</x:v>
      </x:c>
    </x:row>
    <x:row r="38" ht="26" customHeight="1">
      <x:c r="A38" s="51" t="str">
        <x:v>UA-H</x:v>
      </x:c>
      <x:c r="B38" s="51" t="str">
        <x:v>Usuarios y acceso a la plataforma</x:v>
      </x:c>
      <x:c r="C38" s="51" t="str">
        <x:v>Hito: usuarios y acceso transversal operativos</x:v>
      </x:c>
      <x:c r="D38" s="51" t="str">
        <x:v>Hito</x:v>
      </x:c>
      <x:c r="E38" s="51" t="str">
        <x:v>Propuesto</x:v>
      </x:c>
      <x:c r="F38" s="52" t="n">
        <x:v>46465</x:v>
      </x:c>
      <x:c r="G38" s="52" t="n">
        <x:v>46465</x:v>
      </x:c>
      <x:c r="H38" s="53" t="n">
        <x:f>G38-F38+1</x:f>
        <x:v>1</x:v>
      </x:c>
      <x:c r="I38" s="54" t="n">
        <x:f>G38-WEEKDAY(G38,2)+1</x:f>
        <x:v>46461</x:v>
      </x:c>
      <x:c r="J38" s="51" t="str">
        <x:v>UA-01; UA-02; UA-03</x:v>
      </x:c>
      <x:c r="K38" s="51" t="str">
        <x:v>Base de identidad y perfiles</x:v>
      </x:c>
      <x:c r="L38" s="51" t="str">
        <x:v>Base central de identidad y perfiles terminada; asociación por objeto continúa</x:v>
      </x:c>
      <x:c r="M38" s="51" t="str">
        <x:v>Cliente / líder técnico</x:v>
      </x:c>
      <x:c r="N38" s="51" t="str"/>
      <x:c r="O38" s="51" t="str">
        <x:v>No significa que todos los módulos tengan aún sus permisos aplicados</x:v>
      </x:c>
    </x:row>
    <x:row r="39" ht="26" customHeight="1">
      <x:c r="A39" s="28" t="str">
        <x:v>UA-10</x:v>
      </x:c>
      <x:c r="B39" s="28" t="str">
        <x:v>Usuarios y acceso a la plataforma</x:v>
      </x:c>
      <x:c r="C39" s="28" t="str">
        <x:v>Asociar perfiles y permisos a Proyecto</x:v>
      </x:c>
      <x:c r="D39" s="28" t="str">
        <x:v>Actividad</x:v>
      </x:c>
      <x:c r="E39" s="28" t="str">
        <x:v>Propuesto</x:v>
      </x:c>
      <x:c r="F39" s="45" t="n">
        <x:v>46454</x:v>
      </x:c>
      <x:c r="G39" s="45" t="n">
        <x:v>46465</x:v>
      </x:c>
      <x:c r="H39" s="40" t="n">
        <x:f>G39-F39+1</x:f>
        <x:v>12</x:v>
      </x:c>
      <x:c r="I39" s="41" t="n">
        <x:f>G39-WEEKDAY(G39,2)+1</x:f>
        <x:v>46461</x:v>
      </x:c>
      <x:c r="J39" s="28" t="str">
        <x:v>CO-01; UA-03 (entrega parcial)</x:v>
      </x:c>
      <x:c r="K39" s="28" t="str">
        <x:v>Acceso a Proyecto</x:v>
      </x:c>
      <x:c r="L39" s="28" t="str">
        <x:v>Perfiles pueden ver/editar Proyecto o ser rechazados; acceso a Proyecto no concede Activos</x:v>
      </x:c>
      <x:c r="M39" s="28" t="str">
        <x:v>Equipo desarrollo</x:v>
      </x:c>
      <x:c r="N39" s="32" t="str"/>
      <x:c r="O39" s="28" t="str">
        <x:v>Integración de permisos posterior a Construcción y Reportabilidad; validar capacidad del equipo</x:v>
      </x:c>
    </x:row>
    <x:row r="40" ht="26" customHeight="1">
      <x:c r="A40" s="28" t="str">
        <x:v>UA-11</x:v>
      </x:c>
      <x:c r="B40" s="28" t="str">
        <x:v>Usuarios y acceso a la plataforma</x:v>
      </x:c>
      <x:c r="C40" s="28" t="str">
        <x:v>Asociar perfiles y permisos a Activos</x:v>
      </x:c>
      <x:c r="D40" s="28" t="str">
        <x:v>Actividad</x:v>
      </x:c>
      <x:c r="E40" s="28" t="str">
        <x:v>Propuesto</x:v>
      </x:c>
      <x:c r="F40" s="45" t="n">
        <x:v>46454</x:v>
      </x:c>
      <x:c r="G40" s="45" t="n">
        <x:v>46465</x:v>
      </x:c>
      <x:c r="H40" s="40" t="n">
        <x:f>G40-F40+1</x:f>
        <x:v>12</x:v>
      </x:c>
      <x:c r="I40" s="41" t="n">
        <x:f>G40-WEEKDAY(G40,2)+1</x:f>
        <x:v>46461</x:v>
      </x:c>
      <x:c r="J40" s="28" t="str">
        <x:v>CO-02; UA-03 (entrega parcial)</x:v>
      </x:c>
      <x:c r="K40" s="28" t="str">
        <x:v>Acceso a Activos</x:v>
      </x:c>
      <x:c r="L40" s="28" t="str">
        <x:v>Usuario con Proyecto visible y Activos restringidos no ve ni consulta TAG por API</x:v>
      </x:c>
      <x:c r="M40" s="28" t="str">
        <x:v>Equipo desarrollo</x:v>
      </x:c>
      <x:c r="N40" s="32" t="str"/>
      <x:c r="O40" s="28" t="str">
        <x:v>Integración de permisos posterior a Construcción y Reportabilidad; validar capacidad del equipo</x:v>
      </x:c>
    </x:row>
    <x:row r="41" ht="26" customHeight="1">
      <x:c r="A41" s="28" t="str">
        <x:v>UA-12</x:v>
      </x:c>
      <x:c r="B41" s="28" t="str">
        <x:v>Usuarios y acceso a la plataforma</x:v>
      </x:c>
      <x:c r="C41" s="28" t="str">
        <x:v>Asociar perfiles y permisos a Etapas y Especialidades</x:v>
      </x:c>
      <x:c r="D41" s="28" t="str">
        <x:v>Actividad</x:v>
      </x:c>
      <x:c r="E41" s="28" t="str">
        <x:v>Propuesto</x:v>
      </x:c>
      <x:c r="F41" s="45" t="n">
        <x:v>46461</x:v>
      </x:c>
      <x:c r="G41" s="45" t="n">
        <x:v>46472</x:v>
      </x:c>
      <x:c r="H41" s="40" t="n">
        <x:f>G41-F41+1</x:f>
        <x:v>12</x:v>
      </x:c>
      <x:c r="I41" s="41" t="n">
        <x:f>G41-WEEKDAY(G41,2)+1</x:f>
        <x:v>46468</x:v>
      </x:c>
      <x:c r="J41" s="28" t="str">
        <x:v>CO-03; UA-03 (entrega parcial)</x:v>
      </x:c>
      <x:c r="K41" s="28" t="str">
        <x:v>Acceso a etapas y especialidades</x:v>
      </x:c>
      <x:c r="L41" s="28" t="str">
        <x:v>Etapas y Especialidades tienen lectura y configuración separadas por perfil</x:v>
      </x:c>
      <x:c r="M41" s="28" t="str">
        <x:v>Equipo desarrollo</x:v>
      </x:c>
      <x:c r="N41" s="32" t="str"/>
      <x:c r="O41" s="28" t="str">
        <x:v>Integración de permisos posterior a Construcción y Reportabilidad; validar capacidad del equipo</x:v>
      </x:c>
    </x:row>
    <x:row r="42" ht="26" customHeight="1">
      <x:c r="A42" s="28" t="str">
        <x:v>UA-13</x:v>
      </x:c>
      <x:c r="B42" s="28" t="str">
        <x:v>Usuarios y acceso a la plataforma</x:v>
      </x:c>
      <x:c r="C42" s="28" t="str">
        <x:v>Asociar perfiles y permisos a Puntos de Control y Caminatas</x:v>
      </x:c>
      <x:c r="D42" s="28" t="str">
        <x:v>Actividad</x:v>
      </x:c>
      <x:c r="E42" s="28" t="str">
        <x:v>Propuesto</x:v>
      </x:c>
      <x:c r="F42" s="45" t="n">
        <x:v>46461</x:v>
      </x:c>
      <x:c r="G42" s="45" t="n">
        <x:v>46472</x:v>
      </x:c>
      <x:c r="H42" s="40" t="n">
        <x:f>G42-F42+1</x:f>
        <x:v>12</x:v>
      </x:c>
      <x:c r="I42" s="41" t="n">
        <x:f>G42-WEEKDAY(G42,2)+1</x:f>
        <x:v>46468</x:v>
      </x:c>
      <x:c r="J42" s="28" t="str">
        <x:v>CO-04; UA-03 (entrega parcial)</x:v>
      </x:c>
      <x:c r="K42" s="28" t="str">
        <x:v>Acceso a controles y caminatas</x:v>
      </x:c>
      <x:c r="L42" s="28" t="str">
        <x:v>Puntos de Control y Caminatas aplican consulta, registro y cambio de estado por perfil</x:v>
      </x:c>
      <x:c r="M42" s="28" t="str">
        <x:v>Equipo desarrollo</x:v>
      </x:c>
      <x:c r="N42" s="32" t="str"/>
      <x:c r="O42" s="28" t="str">
        <x:v>Integración de permisos posterior a Construcción y Reportabilidad; validar capacidad del equipo</x:v>
      </x:c>
    </x:row>
    <x:row r="43" ht="26" customHeight="1">
      <x:c r="A43" s="28" t="str">
        <x:v>UA-14</x:v>
      </x:c>
      <x:c r="B43" s="28" t="str">
        <x:v>Usuarios y acceso a la plataforma</x:v>
      </x:c>
      <x:c r="C43" s="28" t="str">
        <x:v>Asociar perfiles y permisos a Resultados, Protocolos y Evidencias</x:v>
      </x:c>
      <x:c r="D43" s="28" t="str">
        <x:v>Actividad</x:v>
      </x:c>
      <x:c r="E43" s="28" t="str">
        <x:v>Propuesto</x:v>
      </x:c>
      <x:c r="F43" s="45" t="n">
        <x:v>46468</x:v>
      </x:c>
      <x:c r="G43" s="45" t="n">
        <x:v>46479</x:v>
      </x:c>
      <x:c r="H43" s="40" t="n">
        <x:f>G43-F43+1</x:f>
        <x:v>12</x:v>
      </x:c>
      <x:c r="I43" s="41" t="n">
        <x:f>G43-WEEKDAY(G43,2)+1</x:f>
        <x:v>46475</x:v>
      </x:c>
      <x:c r="J43" s="28" t="str">
        <x:v>CO-05; CO-20; UA-H</x:v>
      </x:c>
      <x:c r="K43" s="28" t="str">
        <x:v>Acceso a resultados y documentos</x:v>
      </x:c>
      <x:c r="L43" s="28" t="str">
        <x:v>Resultados, Protocolos y Evidencias aplican lectura, registro, carga y descarga por perfil</x:v>
      </x:c>
      <x:c r="M43" s="28" t="str">
        <x:v>Equipo desarrollo</x:v>
      </x:c>
      <x:c r="N43" s="32" t="str"/>
      <x:c r="O43" s="28" t="str">
        <x:v>Integración de permisos posterior a Construcción y Reportabilidad; validar capacidad del equipo</x:v>
      </x:c>
    </x:row>
    <x:row r="44" ht="26" customHeight="1">
      <x:c r="A44" s="28" t="str">
        <x:v>UA-15</x:v>
      </x:c>
      <x:c r="B44" s="28" t="str">
        <x:v>Usuarios y acceso a la plataforma</x:v>
      </x:c>
      <x:c r="C44" s="28" t="str">
        <x:v>Asociar perfiles y permisos a Aprobaciones y Traspasos</x:v>
      </x:c>
      <x:c r="D44" s="28" t="str">
        <x:v>Actividad</x:v>
      </x:c>
      <x:c r="E44" s="28" t="str">
        <x:v>Propuesto</x:v>
      </x:c>
      <x:c r="F44" s="45" t="n">
        <x:v>46468</x:v>
      </x:c>
      <x:c r="G44" s="45" t="n">
        <x:v>46479</x:v>
      </x:c>
      <x:c r="H44" s="40" t="n">
        <x:f>G44-F44+1</x:f>
        <x:v>12</x:v>
      </x:c>
      <x:c r="I44" s="41" t="n">
        <x:f>G44-WEEKDAY(G44,2)+1</x:f>
        <x:v>46475</x:v>
      </x:c>
      <x:c r="J44" s="28" t="str">
        <x:v>CO-06; CO-19; UA-H</x:v>
      </x:c>
      <x:c r="K44" s="28" t="str">
        <x:v>Acceso a decisiones y traspasos</x:v>
      </x:c>
      <x:c r="L44" s="28" t="str">
        <x:v>Aprobación, rechazo, entrega y recepción se autorizan en los tres gates</x:v>
      </x:c>
      <x:c r="M44" s="28" t="str">
        <x:v>Equipo desarrollo</x:v>
      </x:c>
      <x:c r="N44" s="32" t="str"/>
      <x:c r="O44" s="28" t="str">
        <x:v>Integración de permisos posterior a Construcción y Reportabilidad; validar capacidad del equipo</x:v>
      </x:c>
    </x:row>
    <x:row r="45" ht="26" customHeight="1">
      <x:c r="A45" s="28" t="str">
        <x:v>UA-16</x:v>
      </x:c>
      <x:c r="B45" s="28" t="str">
        <x:v>Usuarios y acceso a la plataforma</x:v>
      </x:c>
      <x:c r="C45" s="28" t="str">
        <x:v>Asociar perfiles y permisos a Reportes y Repositorios</x:v>
      </x:c>
      <x:c r="D45" s="28" t="str">
        <x:v>Actividad</x:v>
      </x:c>
      <x:c r="E45" s="28" t="str">
        <x:v>Propuesto</x:v>
      </x:c>
      <x:c r="F45" s="45" t="n">
        <x:v>46475</x:v>
      </x:c>
      <x:c r="G45" s="45" t="n">
        <x:v>46486</x:v>
      </x:c>
      <x:c r="H45" s="40" t="n">
        <x:f>G45-F45+1</x:f>
        <x:v>12</x:v>
      </x:c>
      <x:c r="I45" s="41" t="n">
        <x:f>G45-WEEKDAY(G45,2)+1</x:f>
        <x:v>46482</x:v>
      </x:c>
      <x:c r="J45" s="28" t="str">
        <x:v>RE-01; UA-H</x:v>
      </x:c>
      <x:c r="K45" s="28" t="str">
        <x:v>Acceso a reportes y repositorios</x:v>
      </x:c>
      <x:c r="L45" s="28" t="str">
        <x:v>Reportes, Repositorios y exportaciones obedecen perfil y alcance en UI y API</x:v>
      </x:c>
      <x:c r="M45" s="28" t="str">
        <x:v>Equipo desarrollo</x:v>
      </x:c>
      <x:c r="N45" s="32" t="str"/>
      <x:c r="O45" s="28" t="str">
        <x:v>Integración de permisos posterior a Construcción y Reportabilidad; validar capacidad del equipo</x:v>
      </x:c>
    </x:row>
    <x:row r="46" ht="26" customHeight="1">
      <x:c r="A46" s="51" t="str">
        <x:v>UA-H2</x:v>
      </x:c>
      <x:c r="B46" s="51" t="str">
        <x:v>Usuarios y acceso a la plataforma</x:v>
      </x:c>
      <x:c r="C46" s="51" t="str">
        <x:v>Hito: permisos integrados en toda la plataforma</x:v>
      </x:c>
      <x:c r="D46" s="51" t="str">
        <x:v>Hito</x:v>
      </x:c>
      <x:c r="E46" s="51" t="str">
        <x:v>Propuesto</x:v>
      </x:c>
      <x:c r="F46" s="52" t="n">
        <x:v>46486</x:v>
      </x:c>
      <x:c r="G46" s="52" t="n">
        <x:v>46486</x:v>
      </x:c>
      <x:c r="H46" s="53" t="n">
        <x:f>G46-F46+1</x:f>
        <x:v>1</x:v>
      </x:c>
      <x:c r="I46" s="54" t="n">
        <x:f>G46-WEEKDAY(G46,2)+1</x:f>
        <x:v>46482</x:v>
      </x:c>
      <x:c r="J46" s="51" t="str">
        <x:v>UA-10 a UA-16</x:v>
      </x:c>
      <x:c r="K46" s="51" t="str">
        <x:v>Permisos integrados</x:v>
      </x:c>
      <x:c r="L46" s="51" t="str">
        <x:v>Los perfiles aprobados gobiernan todos los objetos y reportes; pruebas positivas y negativas pasan</x:v>
      </x:c>
      <x:c r="M46" s="51" t="str">
        <x:v>Cliente / líder técnico</x:v>
      </x:c>
      <x:c r="N46" s="51" t="str"/>
      <x:c r="O46" s="51" t="str">
        <x:v>Gate de QA integral</x:v>
      </x:c>
    </x:row>
    <x:row r="47" ht="26" customHeight="1">
      <x:c r="A47" s="28" t="str">
        <x:v>PR-01</x:v>
      </x:c>
      <x:c r="B47" s="28" t="str">
        <x:v>Pruebas funcionales y de seguridad</x:v>
      </x:c>
      <x:c r="C47" s="28" t="str">
        <x:v>Pruebas unitarias</x:v>
      </x:c>
      <x:c r="D47" s="28" t="str">
        <x:v>Transversal</x:v>
      </x:c>
      <x:c r="E47" s="28" t="str">
        <x:v>Propuesto</x:v>
      </x:c>
      <x:c r="F47" s="45" t="n">
        <x:v>46314</x:v>
      </x:c>
      <x:c r="G47" s="45" t="n">
        <x:v>46416</x:v>
      </x:c>
      <x:c r="H47" s="40" t="n">
        <x:f>G47-F47+1</x:f>
        <x:v>103</x:v>
      </x:c>
      <x:c r="I47" s="41" t="n">
        <x:f>G47-WEEKDAY(G47,2)+1</x:f>
        <x:v>46412</x:v>
      </x:c>
      <x:c r="J47" s="28" t="str">
        <x:v>CO-01 a CO-20</x:v>
      </x:c>
      <x:c r="K47" s="28" t="str">
        <x:v>Suite unitaria</x:v>
      </x:c>
      <x:c r="L47" s="28" t="str">
        <x:v>Pruebas de reglas críticas ejecutan sin fallas en cada incremento</x:v>
      </x:c>
      <x:c r="M47" s="28" t="str">
        <x:v>Equipo desarrollo</x:v>
      </x:c>
      <x:c r="N47" s="32" t="str"/>
      <x:c r="O47" s="28" t="str">
        <x:v>Ocurre durante construcción</x:v>
      </x:c>
    </x:row>
    <x:row r="48" ht="26" customHeight="1">
      <x:c r="A48" s="28" t="str">
        <x:v>PR-02</x:v>
      </x:c>
      <x:c r="B48" s="28" t="str">
        <x:v>Pruebas funcionales y de seguridad</x:v>
      </x:c>
      <x:c r="C48" s="28" t="str">
        <x:v>Pruebas de integración</x:v>
      </x:c>
      <x:c r="D48" s="28" t="str">
        <x:v>Transversal</x:v>
      </x:c>
      <x:c r="E48" s="28" t="str">
        <x:v>Propuesto</x:v>
      </x:c>
      <x:c r="F48" s="45" t="n">
        <x:v>46482</x:v>
      </x:c>
      <x:c r="G48" s="45" t="n">
        <x:v>46493</x:v>
      </x:c>
      <x:c r="H48" s="40" t="n">
        <x:f>G48-F48+1</x:f>
        <x:v>12</x:v>
      </x:c>
      <x:c r="I48" s="41" t="n">
        <x:f>G48-WEEKDAY(G48,2)+1</x:f>
        <x:v>46489</x:v>
      </x:c>
      <x:c r="J48" s="28" t="str">
        <x:v>UA-10 a UA-16 (entregas parciales)</x:v>
      </x:c>
      <x:c r="K48" s="28" t="str">
        <x:v>Suite de integración</x:v>
      </x:c>
      <x:c r="L48" s="28" t="str">
        <x:v>APIs y UI prueban permisos por objeto, acceso cruzado, revocación y tres gates</x:v>
      </x:c>
      <x:c r="M48" s="28" t="str">
        <x:v>Equipo desarrollo / QA</x:v>
      </x:c>
      <x:c r="N48" s="32" t="str"/>
      <x:c r="O48" s="28" t="str">
        <x:v>Ocurre durante construcción</x:v>
      </x:c>
    </x:row>
    <x:row r="49" ht="26" customHeight="1">
      <x:c r="A49" s="28" t="str">
        <x:v>PR-03</x:v>
      </x:c>
      <x:c r="B49" s="28" t="str">
        <x:v>Pruebas funcionales y de seguridad</x:v>
      </x:c>
      <x:c r="C49" s="28" t="str">
        <x:v>Pruebas funcionales</x:v>
      </x:c>
      <x:c r="D49" s="28" t="str">
        <x:v>Actividad</x:v>
      </x:c>
      <x:c r="E49" s="28" t="str">
        <x:v>Propuesto</x:v>
      </x:c>
      <x:c r="F49" s="45" t="n">
        <x:v>46489</x:v>
      </x:c>
      <x:c r="G49" s="45" t="n">
        <x:v>46507</x:v>
      </x:c>
      <x:c r="H49" s="40" t="n">
        <x:f>G49-F49+1</x:f>
        <x:v>19</x:v>
      </x:c>
      <x:c r="I49" s="41" t="n">
        <x:f>G49-WEEKDAY(G49,2)+1</x:f>
        <x:v>46503</x:v>
      </x:c>
      <x:c r="J49" s="28" t="str">
        <x:v>CO-H3; RE-H4; UA-H2</x:v>
      </x:c>
      <x:c r="K49" s="28" t="str">
        <x:v>Resultados de pruebas QA</x:v>
      </x:c>
      <x:c r="L49" s="28" t="str">
        <x:v>Cuatro etapas, tres gates, login y permisos por objeto pasan casos acordados sin defectos críticos</x:v>
      </x:c>
      <x:c r="M49" s="28" t="str">
        <x:v>QA / producto</x:v>
      </x:c>
      <x:c r="N49" s="32" t="str"/>
      <x:c r="O49" s="28" t="str">
        <x:v>Incluye seguridad y regresión; fechas dependen del flujo completo</x:v>
      </x:c>
    </x:row>
    <x:row r="50" ht="26" customHeight="1">
      <x:c r="A50" s="51" t="str">
        <x:v>PR-H5</x:v>
      </x:c>
      <x:c r="B50" s="51" t="str">
        <x:v>Pruebas funcionales y de seguridad</x:v>
      </x:c>
      <x:c r="C50" s="51" t="str">
        <x:v>Hito: versión candidata aprobada</x:v>
      </x:c>
      <x:c r="D50" s="51" t="str">
        <x:v>Hito</x:v>
      </x:c>
      <x:c r="E50" s="51" t="str">
        <x:v>Propuesto</x:v>
      </x:c>
      <x:c r="F50" s="52" t="n">
        <x:v>46507</x:v>
      </x:c>
      <x:c r="G50" s="52" t="n">
        <x:v>46507</x:v>
      </x:c>
      <x:c r="H50" s="53" t="n">
        <x:f>G50-F50+1</x:f>
        <x:v>1</x:v>
      </x:c>
      <x:c r="I50" s="54" t="n">
        <x:f>G50-WEEKDAY(G50,2)+1</x:f>
        <x:v>46503</x:v>
      </x:c>
      <x:c r="J50" s="51" t="str">
        <x:v>PR-03</x:v>
      </x:c>
      <x:c r="K50" s="51" t="str">
        <x:v>Versión candidata QA</x:v>
      </x:c>
      <x:c r="L50" s="51" t="str">
        <x:v>No hay defectos críticos abiertos; evidencia de pruebas disponible</x:v>
      </x:c>
      <x:c r="M50" s="51" t="str">
        <x:v>QA / líder técnico</x:v>
      </x:c>
      <x:c r="N50" s="51" t="str"/>
      <x:c r="O50" s="51" t="str"/>
    </x:row>
    <x:row r="51" ht="26" customHeight="1">
      <x:c r="A51" s="28" t="str">
        <x:v>QA-01</x:v>
      </x:c>
      <x:c r="B51" s="28" t="str">
        <x:v>Despliegue en ambiente QA</x:v>
      </x:c>
      <x:c r="C51" s="28" t="str">
        <x:v>Despliegue en ambiente QA</x:v>
      </x:c>
      <x:c r="D51" s="28" t="str">
        <x:v>Actividad</x:v>
      </x:c>
      <x:c r="E51" s="28" t="str">
        <x:v>Propuesto</x:v>
      </x:c>
      <x:c r="F51" s="45" t="n">
        <x:v>46489</x:v>
      </x:c>
      <x:c r="G51" s="45" t="n">
        <x:v>46491</x:v>
      </x:c>
      <x:c r="H51" s="40" t="n">
        <x:f>G51-F51+1</x:f>
        <x:v>3</x:v>
      </x:c>
      <x:c r="I51" s="41" t="n">
        <x:f>G51-WEEKDAY(G51,2)+1</x:f>
        <x:v>46489</x:v>
      </x:c>
      <x:c r="J51" s="28" t="str">
        <x:v>UA-H2; CO-H3; RE-H4</x:v>
      </x:c>
      <x:c r="K51" s="28" t="str">
        <x:v>Versión instalada en QA</x:v>
      </x:c>
      <x:c r="L51" s="28" t="str">
        <x:v>Versión reproducible y datos de prueba disponibles para aceptación</x:v>
      </x:c>
      <x:c r="M51" s="28" t="str">
        <x:v>Líder técnico / QA</x:v>
      </x:c>
      <x:c r="N51" s="32" t="str"/>
      <x:c r="O51" s="28" t="str"/>
    </x:row>
    <x:row r="52" ht="26" customHeight="1">
      <x:c r="A52" s="28" t="str">
        <x:v>QA-02</x:v>
      </x:c>
      <x:c r="B52" s="28" t="str">
        <x:v>Despliegue en ambiente QA</x:v>
      </x:c>
      <x:c r="C52" s="28" t="str">
        <x:v>Validación y aceptación del cliente</x:v>
      </x:c>
      <x:c r="D52" s="28" t="str">
        <x:v>Actividad</x:v>
      </x:c>
      <x:c r="E52" s="28" t="str">
        <x:v>Propuesto</x:v>
      </x:c>
      <x:c r="F52" s="45" t="n">
        <x:v>46510</x:v>
      </x:c>
      <x:c r="G52" s="45" t="n">
        <x:v>46525</x:v>
      </x:c>
      <x:c r="H52" s="40" t="n">
        <x:f>G52-F52+1</x:f>
        <x:v>16</x:v>
      </x:c>
      <x:c r="I52" s="41" t="n">
        <x:f>G52-WEEKDAY(G52,2)+1</x:f>
        <x:v>46524</x:v>
      </x:c>
      <x:c r="J52" s="28" t="str">
        <x:v>QA-01; PR-H5</x:v>
      </x:c>
      <x:c r="K52" s="28" t="str">
        <x:v>Acta de aceptación QA</x:v>
      </x:c>
      <x:c r="L52" s="28" t="str">
        <x:v>Cliente ejecuta recorridos críticos y aprueba lista final de defectos</x:v>
      </x:c>
      <x:c r="M52" s="28" t="str">
        <x:v>Cliente / producto</x:v>
      </x:c>
      <x:c r="N52" s="32" t="str"/>
      <x:c r="O52" s="28" t="str">
        <x:v>Necesita agenda y participación del cliente</x:v>
      </x:c>
    </x:row>
    <x:row r="53" ht="26" customHeight="1">
      <x:c r="A53" s="51" t="str">
        <x:v>QA-H6</x:v>
      </x:c>
      <x:c r="B53" s="51" t="str">
        <x:v>Despliegue en ambiente QA</x:v>
      </x:c>
      <x:c r="C53" s="51" t="str">
        <x:v>Hito: autorización para PROD</x:v>
      </x:c>
      <x:c r="D53" s="51" t="str">
        <x:v>Hito</x:v>
      </x:c>
      <x:c r="E53" s="51" t="str">
        <x:v>Propuesto</x:v>
      </x:c>
      <x:c r="F53" s="52" t="n">
        <x:v>46525</x:v>
      </x:c>
      <x:c r="G53" s="52" t="n">
        <x:v>46525</x:v>
      </x:c>
      <x:c r="H53" s="53" t="n">
        <x:f>G53-F53+1</x:f>
        <x:v>1</x:v>
      </x:c>
      <x:c r="I53" s="54" t="n">
        <x:f>G53-WEEKDAY(G53,2)+1</x:f>
        <x:v>46524</x:v>
      </x:c>
      <x:c r="J53" s="51" t="str">
        <x:v>QA-02</x:v>
      </x:c>
      <x:c r="K53" s="51" t="str">
        <x:v>Autorización de despliegue</x:v>
      </x:c>
      <x:c r="L53" s="51" t="str">
        <x:v>Aprobación escrita del cliente y plan de reversión revisado</x:v>
      </x:c>
      <x:c r="M53" s="51" t="str">
        <x:v>Cliente / líder técnico</x:v>
      </x:c>
      <x:c r="N53" s="51" t="str"/>
      <x:c r="O53" s="51" t="str">
        <x:v>Gate de producción</x:v>
      </x:c>
    </x:row>
    <x:row r="54" ht="26" customHeight="1">
      <x:c r="A54" s="28" t="str">
        <x:v>PD-01</x:v>
      </x:c>
      <x:c r="B54" s="28" t="str">
        <x:v>Despliegue en ambiente PROD</x:v>
      </x:c>
      <x:c r="C54" s="28" t="str">
        <x:v>Despliegue en ambiente PROD</x:v>
      </x:c>
      <x:c r="D54" s="28" t="str">
        <x:v>Actividad</x:v>
      </x:c>
      <x:c r="E54" s="28" t="str">
        <x:v>Propuesto</x:v>
      </x:c>
      <x:c r="F54" s="45" t="n">
        <x:v>46527</x:v>
      </x:c>
      <x:c r="G54" s="45" t="n">
        <x:v>46531</x:v>
      </x:c>
      <x:c r="H54" s="40" t="n">
        <x:f>G54-F54+1</x:f>
        <x:v>5</x:v>
      </x:c>
      <x:c r="I54" s="41" t="n">
        <x:f>G54-WEEKDAY(G54,2)+1</x:f>
        <x:v>46531</x:v>
      </x:c>
      <x:c r="J54" s="28" t="str">
        <x:v>QA-H6</x:v>
      </x:c>
      <x:c r="K54" s="28" t="str">
        <x:v>Versión instalada en PROD</x:v>
      </x:c>
      <x:c r="L54" s="28" t="str">
        <x:v>Despliegue, migraciones, respaldo, monitoreo y rollback comprobados</x:v>
      </x:c>
      <x:c r="M54" s="28" t="str">
        <x:v>Líder técnico</x:v>
      </x:c>
      <x:c r="N54" s="32" t="str"/>
      <x:c r="O54" s="28" t="str"/>
    </x:row>
    <x:row r="55" ht="26" customHeight="1">
      <x:c r="A55" s="28" t="str">
        <x:v>PD-02</x:v>
      </x:c>
      <x:c r="B55" s="28" t="str">
        <x:v>Despliegue en ambiente PROD</x:v>
      </x:c>
      <x:c r="C55" s="28" t="str">
        <x:v>Verificación en producción</x:v>
      </x:c>
      <x:c r="D55" s="28" t="str">
        <x:v>Actividad</x:v>
      </x:c>
      <x:c r="E55" s="28" t="str">
        <x:v>Propuesto</x:v>
      </x:c>
      <x:c r="F55" s="45" t="n">
        <x:v>46531</x:v>
      </x:c>
      <x:c r="G55" s="45" t="n">
        <x:v>46535</x:v>
      </x:c>
      <x:c r="H55" s="40" t="n">
        <x:f>G55-F55+1</x:f>
        <x:v>5</x:v>
      </x:c>
      <x:c r="I55" s="41" t="n">
        <x:f>G55-WEEKDAY(G55,2)+1</x:f>
        <x:v>46531</x:v>
      </x:c>
      <x:c r="J55" s="28" t="str">
        <x:v>PD-01</x:v>
      </x:c>
      <x:c r="K55" s="28" t="str">
        <x:v>Acta de verificación PROD</x:v>
      </x:c>
      <x:c r="L55" s="28" t="str">
        <x:v>Recorridos críticos pasan y responsables reciben operación</x:v>
      </x:c>
      <x:c r="M55" s="28" t="str">
        <x:v>Líder técnico / producto</x:v>
      </x:c>
      <x:c r="N55" s="32" t="str"/>
      <x:c r="O55" s="28" t="str"/>
    </x:row>
    <x:row r="56" ht="26" customHeight="1">
      <x:c r="A56" s="51" t="str">
        <x:v>PD-H7</x:v>
      </x:c>
      <x:c r="B56" s="51" t="str">
        <x:v>Despliegue en ambiente PROD</x:v>
      </x:c>
      <x:c r="C56" s="51" t="str">
        <x:v>Hito: plataforma operativa</x:v>
      </x:c>
      <x:c r="D56" s="51" t="str">
        <x:v>Hito</x:v>
      </x:c>
      <x:c r="E56" s="51" t="str">
        <x:v>Propuesto</x:v>
      </x:c>
      <x:c r="F56" s="52" t="n">
        <x:v>46535</x:v>
      </x:c>
      <x:c r="G56" s="52" t="n">
        <x:v>46535</x:v>
      </x:c>
      <x:c r="H56" s="53" t="n">
        <x:f>G56-F56+1</x:f>
        <x:v>1</x:v>
      </x:c>
      <x:c r="I56" s="54" t="n">
        <x:f>G56-WEEKDAY(G56,2)+1</x:f>
        <x:v>46531</x:v>
      </x:c>
      <x:c r="J56" s="51" t="str">
        <x:v>PD-02</x:v>
      </x:c>
      <x:c r="K56" s="51" t="str">
        <x:v>Plataforma operativa</x:v>
      </x:c>
      <x:c r="L56" s="51" t="str">
        <x:v>Cliente confirma operación de TM, Precom, Com y PEM en PROD y documentación entregada</x:v>
      </x:c>
      <x:c r="M56" s="51" t="str">
        <x:v>Cliente / producto</x:v>
      </x:c>
      <x:c r="N56" s="51" t="str"/>
      <x:c r="O56" s="51" t="str">
        <x:v>Escenario secuencial propuesto; sustituye fecha febrero hasta validación</x:v>
      </x:c>
    </x:row>
    <x:row r="57" ht="26" customHeight="1">
      <x:c r="A57" s="33" t="str">
        <x:v>CA-01</x:v>
      </x:c>
      <x:c r="B57" s="33" t="str">
        <x:v>Capacitaciones</x:v>
      </x:c>
      <x:c r="C57" s="33" t="str">
        <x:v>Capacitaciones</x:v>
      </x:c>
      <x:c r="D57" s="33" t="str">
        <x:v>Actividad</x:v>
      </x:c>
      <x:c r="E57" s="33" t="str">
        <x:v>Propuesto</x:v>
      </x:c>
      <x:c r="F57" s="46" t="n">
        <x:v>46517</x:v>
      </x:c>
      <x:c r="G57" s="46" t="n">
        <x:v>46535</x:v>
      </x:c>
      <x:c r="H57" s="42" t="n">
        <x:f>G57-F57+1</x:f>
        <x:v>19</x:v>
      </x:c>
      <x:c r="I57" s="43" t="n">
        <x:f>G57-WEEKDAY(G57,2)+1</x:f>
        <x:v>46531</x:v>
      </x:c>
      <x:c r="J57" s="33" t="str">
        <x:v>QA-01</x:v>
      </x:c>
      <x:c r="K57" s="33" t="str">
        <x:v>Usuarios capacitados</x:v>
      </x:c>
      <x:c r="L57" s="33" t="str">
        <x:v>Sesiones realizadas; guías y material entregados; asistencia registrada</x:v>
      </x:c>
      <x:c r="M57" s="33" t="str">
        <x:v>Producto / soporte</x:v>
      </x:c>
      <x:c r="N57" s="37" t="str"/>
      <x:c r="O57" s="33" t="str">
        <x:v>En paralelo con aceptación y puesta en marcha</x:v>
      </x:c>
    </x:row>
  </x:sheetData>
  <x:dataValidations count="1">
    <x:dataValidation type="list" sqref="E7:E57">
      <x:formula1>"Realizado,Propuesto,En curso,Aprobado,Retrasado"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A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15" hidden="0" customWidth="1"/>
    <x:col min="5" max="5" width="15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</x:cols>
  <x:sheetData>
    <x:row r="2">
      <x:c r="A2" s="6" t="str">
        <x:v>Gantt semanal de desarrollo</x:v>
      </x:c>
    </x:row>
    <x:row r="3">
      <x:c r="A3" s="7" t="str">
        <x:v>Cada columna representa una semana (lunes a domingo). Las barras se actualizan al cambiar Inicio o Fin en Cronograma.</x:v>
      </x:c>
    </x:row>
    <x:row r="5" ht="32" customHeight="1">
      <x:c r="A5" s="60" t="str">
        <x:v>ID</x:v>
      </x:c>
      <x:c r="B5" s="60" t="str">
        <x:v>Bloque</x:v>
      </x:c>
      <x:c r="C5" s="60" t="str">
        <x:v>Actividad</x:v>
      </x:c>
      <x:c r="D5" s="60" t="str">
        <x:v>Inicio</x:v>
      </x:c>
      <x:c r="E5" s="60" t="str">
        <x:v>Fin</x:v>
      </x:c>
      <x:c r="F5" s="60" t="str">
        <x:v>Días</x:v>
      </x:c>
      <x:c r="G5" s="61" t="n">
        <x:v>46272</x:v>
      </x:c>
      <x:c r="H5" s="61" t="n">
        <x:v>46279</x:v>
      </x:c>
      <x:c r="I5" s="61" t="n">
        <x:v>46286</x:v>
      </x:c>
      <x:c r="J5" s="61" t="n">
        <x:v>46293</x:v>
      </x:c>
      <x:c r="K5" s="61" t="n">
        <x:v>46300</x:v>
      </x:c>
      <x:c r="L5" s="61" t="n">
        <x:v>46307</x:v>
      </x:c>
      <x:c r="M5" s="61" t="n">
        <x:v>46314</x:v>
      </x:c>
      <x:c r="N5" s="61" t="n">
        <x:v>46321</x:v>
      </x:c>
      <x:c r="O5" s="61" t="n">
        <x:v>46328</x:v>
      </x:c>
      <x:c r="P5" s="61" t="n">
        <x:v>46335</x:v>
      </x:c>
      <x:c r="Q5" s="61" t="n">
        <x:v>46342</x:v>
      </x:c>
      <x:c r="R5" s="61" t="n">
        <x:v>46349</x:v>
      </x:c>
      <x:c r="S5" s="61" t="n">
        <x:v>46356</x:v>
      </x:c>
      <x:c r="T5" s="61" t="n">
        <x:v>46363</x:v>
      </x:c>
      <x:c r="U5" s="61" t="n">
        <x:v>46370</x:v>
      </x:c>
      <x:c r="V5" s="61" t="n">
        <x:v>46377</x:v>
      </x:c>
      <x:c r="W5" s="61" t="n">
        <x:v>46384</x:v>
      </x:c>
      <x:c r="X5" s="61" t="n">
        <x:v>46391</x:v>
      </x:c>
      <x:c r="Y5" s="61" t="n">
        <x:v>46398</x:v>
      </x:c>
      <x:c r="Z5" s="61" t="n">
        <x:v>46405</x:v>
      </x:c>
      <x:c r="AA5" s="61" t="n">
        <x:v>46412</x:v>
      </x:c>
      <x:c r="AB5" s="61" t="n">
        <x:v>46419</x:v>
      </x:c>
      <x:c r="AC5" s="61" t="n">
        <x:v>46426</x:v>
      </x:c>
      <x:c r="AD5" s="61" t="n">
        <x:v>46433</x:v>
      </x:c>
      <x:c r="AE5" s="61" t="n">
        <x:v>46440</x:v>
      </x:c>
      <x:c r="AF5" s="61" t="n">
        <x:v>46447</x:v>
      </x:c>
      <x:c r="AG5" s="61" t="n">
        <x:v>46454</x:v>
      </x:c>
      <x:c r="AH5" s="61" t="n">
        <x:v>46461</x:v>
      </x:c>
      <x:c r="AI5" s="61" t="n">
        <x:v>46468</x:v>
      </x:c>
      <x:c r="AJ5" s="61" t="n">
        <x:v>46475</x:v>
      </x:c>
      <x:c r="AK5" s="61" t="n">
        <x:v>46482</x:v>
      </x:c>
      <x:c r="AL5" s="61" t="n">
        <x:v>46489</x:v>
      </x:c>
      <x:c r="AM5" s="61" t="n">
        <x:v>46496</x:v>
      </x:c>
      <x:c r="AN5" s="61" t="n">
        <x:v>46503</x:v>
      </x:c>
      <x:c r="AO5" s="61" t="n">
        <x:v>46510</x:v>
      </x:c>
      <x:c r="AP5" s="61" t="n">
        <x:v>46517</x:v>
      </x:c>
      <x:c r="AQ5" s="61" t="n">
        <x:v>46524</x:v>
      </x:c>
      <x:c r="AR5" s="61" t="n">
        <x:v>46531</x:v>
      </x:c>
    </x:row>
    <x:row r="6" ht="25" customHeight="1">
      <x:c r="A6" s="72" t="str">
        <x:f>Cronograma!A7</x:f>
        <x:v>LM-01</x:v>
      </x:c>
      <x:c r="B6" s="72" t="str">
        <x:f>Cronograma!B7</x:f>
        <x:v>Levantamiento del modelo inicial</x:v>
      </x:c>
      <x:c r="C6" s="72" t="str">
        <x:f>Cronograma!C7</x:f>
        <x:v>Revisar Matriz TM&amp;PC</x:v>
      </x:c>
      <x:c r="D6" s="73" t="n">
        <x:f>Cronograma!F7</x:f>
        <x:v>46274</x:v>
      </x:c>
      <x:c r="E6" s="73" t="n">
        <x:f>Cronograma!G7</x:f>
        <x:v>46274</x:v>
      </x:c>
      <x:c r="F6" s="74" t="n">
        <x:f>Cronograma!H7</x:f>
        <x:v>1</x:v>
      </x:c>
      <x:c r="G6" s="75" t="str">
        <x:f>IF(AND(G$5&lt;=Cronograma!$G7,G$5+6&gt;=Cronograma!$F7),IF(Cronograma!$D7="Hito","◆","■"),"")</x:f>
        <x:v>■</x:v>
      </x:c>
      <x:c r="H6" s="75" t="str">
        <x:f>IF(AND(H$5&lt;=Cronograma!$G7,H$5+6&gt;=Cronograma!$F7),IF(Cronograma!$D7="Hito","◆","■"),"")</x:f>
      </x:c>
      <x:c r="I6" s="75" t="str">
        <x:f>IF(AND(I$5&lt;=Cronograma!$G7,I$5+6&gt;=Cronograma!$F7),IF(Cronograma!$D7="Hito","◆","■"),"")</x:f>
      </x:c>
      <x:c r="J6" s="75" t="str">
        <x:f>IF(AND(J$5&lt;=Cronograma!$G7,J$5+6&gt;=Cronograma!$F7),IF(Cronograma!$D7="Hito","◆","■"),"")</x:f>
      </x:c>
      <x:c r="K6" s="75" t="str">
        <x:f>IF(AND(K$5&lt;=Cronograma!$G7,K$5+6&gt;=Cronograma!$F7),IF(Cronograma!$D7="Hito","◆","■"),"")</x:f>
      </x:c>
      <x:c r="L6" s="75" t="str">
        <x:f>IF(AND(L$5&lt;=Cronograma!$G7,L$5+6&gt;=Cronograma!$F7),IF(Cronograma!$D7="Hito","◆","■"),"")</x:f>
      </x:c>
      <x:c r="M6" s="75" t="str">
        <x:f>IF(AND(M$5&lt;=Cronograma!$G7,M$5+6&gt;=Cronograma!$F7),IF(Cronograma!$D7="Hito","◆","■"),"")</x:f>
      </x:c>
      <x:c r="N6" s="75" t="str">
        <x:f>IF(AND(N$5&lt;=Cronograma!$G7,N$5+6&gt;=Cronograma!$F7),IF(Cronograma!$D7="Hito","◆","■"),"")</x:f>
      </x:c>
      <x:c r="O6" s="75" t="str">
        <x:f>IF(AND(O$5&lt;=Cronograma!$G7,O$5+6&gt;=Cronograma!$F7),IF(Cronograma!$D7="Hito","◆","■"),"")</x:f>
      </x:c>
      <x:c r="P6" s="75" t="str">
        <x:f>IF(AND(P$5&lt;=Cronograma!$G7,P$5+6&gt;=Cronograma!$F7),IF(Cronograma!$D7="Hito","◆","■"),"")</x:f>
      </x:c>
      <x:c r="Q6" s="75" t="str">
        <x:f>IF(AND(Q$5&lt;=Cronograma!$G7,Q$5+6&gt;=Cronograma!$F7),IF(Cronograma!$D7="Hito","◆","■"),"")</x:f>
      </x:c>
      <x:c r="R6" s="75" t="str">
        <x:f>IF(AND(R$5&lt;=Cronograma!$G7,R$5+6&gt;=Cronograma!$F7),IF(Cronograma!$D7="Hito","◆","■"),"")</x:f>
      </x:c>
      <x:c r="S6" s="75" t="str">
        <x:f>IF(AND(S$5&lt;=Cronograma!$G7,S$5+6&gt;=Cronograma!$F7),IF(Cronograma!$D7="Hito","◆","■"),"")</x:f>
      </x:c>
      <x:c r="T6" s="75" t="str">
        <x:f>IF(AND(T$5&lt;=Cronograma!$G7,T$5+6&gt;=Cronograma!$F7),IF(Cronograma!$D7="Hito","◆","■"),"")</x:f>
      </x:c>
      <x:c r="U6" s="75" t="str">
        <x:f>IF(AND(U$5&lt;=Cronograma!$G7,U$5+6&gt;=Cronograma!$F7),IF(Cronograma!$D7="Hito","◆","■"),"")</x:f>
      </x:c>
      <x:c r="V6" s="75" t="str">
        <x:f>IF(AND(V$5&lt;=Cronograma!$G7,V$5+6&gt;=Cronograma!$F7),IF(Cronograma!$D7="Hito","◆","■"),"")</x:f>
      </x:c>
      <x:c r="W6" s="75" t="str">
        <x:f>IF(AND(W$5&lt;=Cronograma!$G7,W$5+6&gt;=Cronograma!$F7),IF(Cronograma!$D7="Hito","◆","■"),"")</x:f>
      </x:c>
      <x:c r="X6" s="75" t="str">
        <x:f>IF(AND(X$5&lt;=Cronograma!$G7,X$5+6&gt;=Cronograma!$F7),IF(Cronograma!$D7="Hito","◆","■"),"")</x:f>
      </x:c>
      <x:c r="Y6" s="75" t="str">
        <x:f>IF(AND(Y$5&lt;=Cronograma!$G7,Y$5+6&gt;=Cronograma!$F7),IF(Cronograma!$D7="Hito","◆","■"),"")</x:f>
      </x:c>
      <x:c r="Z6" s="75" t="str">
        <x:f>IF(AND(Z$5&lt;=Cronograma!$G7,Z$5+6&gt;=Cronograma!$F7),IF(Cronograma!$D7="Hito","◆","■"),"")</x:f>
      </x:c>
      <x:c r="AA6" s="75" t="str">
        <x:f>IF(AND(AA$5&lt;=Cronograma!$G7,AA$5+6&gt;=Cronograma!$F7),IF(Cronograma!$D7="Hito","◆","■"),"")</x:f>
      </x:c>
      <x:c r="AB6" s="75" t="str">
        <x:f>IF(AND(AB$5&lt;=Cronograma!$G7,AB$5+6&gt;=Cronograma!$F7),IF(Cronograma!$D7="Hito","◆","■"),"")</x:f>
      </x:c>
      <x:c r="AC6" s="75" t="str">
        <x:f>IF(AND(AC$5&lt;=Cronograma!$G7,AC$5+6&gt;=Cronograma!$F7),IF(Cronograma!$D7="Hito","◆","■"),"")</x:f>
      </x:c>
      <x:c r="AD6" s="75" t="str">
        <x:f>IF(AND(AD$5&lt;=Cronograma!$G7,AD$5+6&gt;=Cronograma!$F7),IF(Cronograma!$D7="Hito","◆","■"),"")</x:f>
      </x:c>
      <x:c r="AE6" s="75" t="str">
        <x:f>IF(AND(AE$5&lt;=Cronograma!$G7,AE$5+6&gt;=Cronograma!$F7),IF(Cronograma!$D7="Hito","◆","■"),"")</x:f>
      </x:c>
      <x:c r="AF6" s="75" t="str">
        <x:f>IF(AND(AF$5&lt;=Cronograma!$G7,AF$5+6&gt;=Cronograma!$F7),IF(Cronograma!$D7="Hito","◆","■"),"")</x:f>
      </x:c>
      <x:c r="AG6" s="75" t="str">
        <x:f>IF(AND(AG$5&lt;=Cronograma!$G7,AG$5+6&gt;=Cronograma!$F7),IF(Cronograma!$D7="Hito","◆","■"),"")</x:f>
      </x:c>
      <x:c r="AH6" s="75" t="str">
        <x:f>IF(AND(AH$5&lt;=Cronograma!$G7,AH$5+6&gt;=Cronograma!$F7),IF(Cronograma!$D7="Hito","◆","■"),"")</x:f>
      </x:c>
      <x:c r="AI6" s="75" t="str">
        <x:f>IF(AND(AI$5&lt;=Cronograma!$G7,AI$5+6&gt;=Cronograma!$F7),IF(Cronograma!$D7="Hito","◆","■"),"")</x:f>
      </x:c>
      <x:c r="AJ6" s="75" t="str">
        <x:f>IF(AND(AJ$5&lt;=Cronograma!$G7,AJ$5+6&gt;=Cronograma!$F7),IF(Cronograma!$D7="Hito","◆","■"),"")</x:f>
      </x:c>
      <x:c r="AK6" s="75" t="str">
        <x:f>IF(AND(AK$5&lt;=Cronograma!$G7,AK$5+6&gt;=Cronograma!$F7),IF(Cronograma!$D7="Hito","◆","■"),"")</x:f>
      </x:c>
      <x:c r="AL6" s="75" t="str">
        <x:f>IF(AND(AL$5&lt;=Cronograma!$G7,AL$5+6&gt;=Cronograma!$F7),IF(Cronograma!$D7="Hito","◆","■"),"")</x:f>
      </x:c>
      <x:c r="AM6" s="75" t="str">
        <x:f>IF(AND(AM$5&lt;=Cronograma!$G7,AM$5+6&gt;=Cronograma!$F7),IF(Cronograma!$D7="Hito","◆","■"),"")</x:f>
      </x:c>
      <x:c r="AN6" s="75" t="str">
        <x:f>IF(AND(AN$5&lt;=Cronograma!$G7,AN$5+6&gt;=Cronograma!$F7),IF(Cronograma!$D7="Hito","◆","■"),"")</x:f>
      </x:c>
      <x:c r="AO6" s="75" t="str">
        <x:f>IF(AND(AO$5&lt;=Cronograma!$G7,AO$5+6&gt;=Cronograma!$F7),IF(Cronograma!$D7="Hito","◆","■"),"")</x:f>
      </x:c>
      <x:c r="AP6" s="75" t="str">
        <x:f>IF(AND(AP$5&lt;=Cronograma!$G7,AP$5+6&gt;=Cronograma!$F7),IF(Cronograma!$D7="Hito","◆","■"),"")</x:f>
      </x:c>
      <x:c r="AQ6" s="75" t="str">
        <x:f>IF(AND(AQ$5&lt;=Cronograma!$G7,AQ$5+6&gt;=Cronograma!$F7),IF(Cronograma!$D7="Hito","◆","■"),"")</x:f>
      </x:c>
      <x:c r="AR6" s="75" t="str">
        <x:f>IF(AND(AR$5&lt;=Cronograma!$G7,AR$5+6&gt;=Cronograma!$F7),IF(Cronograma!$D7="Hito","◆","■"),"")</x:f>
      </x:c>
    </x:row>
    <x:row r="7" ht="25" customHeight="1">
      <x:c r="A7" s="76" t="str">
        <x:f>Cronograma!A8</x:f>
        <x:v>LM-02</x:v>
      </x:c>
      <x:c r="B7" s="76" t="str">
        <x:f>Cronograma!B8</x:f>
        <x:v>Levantamiento del modelo inicial</x:v>
      </x:c>
      <x:c r="C7" s="76" t="str">
        <x:f>Cronograma!C8</x:f>
        <x:v>Revisar modelo HTML</x:v>
      </x:c>
      <x:c r="D7" s="77" t="n">
        <x:f>Cronograma!F8</x:f>
        <x:v>46274</x:v>
      </x:c>
      <x:c r="E7" s="77" t="n">
        <x:f>Cronograma!G8</x:f>
        <x:v>46274</x:v>
      </x:c>
      <x:c r="F7" s="78" t="n">
        <x:f>Cronograma!H8</x:f>
        <x:v>1</x:v>
      </x:c>
      <x:c r="G7" s="79" t="str">
        <x:f>IF(AND(G$5&lt;=Cronograma!$G8,G$5+6&gt;=Cronograma!$F8),IF(Cronograma!$D8="Hito","◆","■"),"")</x:f>
        <x:v>■</x:v>
      </x:c>
      <x:c r="H7" s="79" t="str">
        <x:f>IF(AND(H$5&lt;=Cronograma!$G8,H$5+6&gt;=Cronograma!$F8),IF(Cronograma!$D8="Hito","◆","■"),"")</x:f>
      </x:c>
      <x:c r="I7" s="79" t="str">
        <x:f>IF(AND(I$5&lt;=Cronograma!$G8,I$5+6&gt;=Cronograma!$F8),IF(Cronograma!$D8="Hito","◆","■"),"")</x:f>
      </x:c>
      <x:c r="J7" s="79" t="str">
        <x:f>IF(AND(J$5&lt;=Cronograma!$G8,J$5+6&gt;=Cronograma!$F8),IF(Cronograma!$D8="Hito","◆","■"),"")</x:f>
      </x:c>
      <x:c r="K7" s="79" t="str">
        <x:f>IF(AND(K$5&lt;=Cronograma!$G8,K$5+6&gt;=Cronograma!$F8),IF(Cronograma!$D8="Hito","◆","■"),"")</x:f>
      </x:c>
      <x:c r="L7" s="79" t="str">
        <x:f>IF(AND(L$5&lt;=Cronograma!$G8,L$5+6&gt;=Cronograma!$F8),IF(Cronograma!$D8="Hito","◆","■"),"")</x:f>
      </x:c>
      <x:c r="M7" s="79" t="str">
        <x:f>IF(AND(M$5&lt;=Cronograma!$G8,M$5+6&gt;=Cronograma!$F8),IF(Cronograma!$D8="Hito","◆","■"),"")</x:f>
      </x:c>
      <x:c r="N7" s="79" t="str">
        <x:f>IF(AND(N$5&lt;=Cronograma!$G8,N$5+6&gt;=Cronograma!$F8),IF(Cronograma!$D8="Hito","◆","■"),"")</x:f>
      </x:c>
      <x:c r="O7" s="79" t="str">
        <x:f>IF(AND(O$5&lt;=Cronograma!$G8,O$5+6&gt;=Cronograma!$F8),IF(Cronograma!$D8="Hito","◆","■"),"")</x:f>
      </x:c>
      <x:c r="P7" s="79" t="str">
        <x:f>IF(AND(P$5&lt;=Cronograma!$G8,P$5+6&gt;=Cronograma!$F8),IF(Cronograma!$D8="Hito","◆","■"),"")</x:f>
      </x:c>
      <x:c r="Q7" s="79" t="str">
        <x:f>IF(AND(Q$5&lt;=Cronograma!$G8,Q$5+6&gt;=Cronograma!$F8),IF(Cronograma!$D8="Hito","◆","■"),"")</x:f>
      </x:c>
      <x:c r="R7" s="79" t="str">
        <x:f>IF(AND(R$5&lt;=Cronograma!$G8,R$5+6&gt;=Cronograma!$F8),IF(Cronograma!$D8="Hito","◆","■"),"")</x:f>
      </x:c>
      <x:c r="S7" s="79" t="str">
        <x:f>IF(AND(S$5&lt;=Cronograma!$G8,S$5+6&gt;=Cronograma!$F8),IF(Cronograma!$D8="Hito","◆","■"),"")</x:f>
      </x:c>
      <x:c r="T7" s="79" t="str">
        <x:f>IF(AND(T$5&lt;=Cronograma!$G8,T$5+6&gt;=Cronograma!$F8),IF(Cronograma!$D8="Hito","◆","■"),"")</x:f>
      </x:c>
      <x:c r="U7" s="79" t="str">
        <x:f>IF(AND(U$5&lt;=Cronograma!$G8,U$5+6&gt;=Cronograma!$F8),IF(Cronograma!$D8="Hito","◆","■"),"")</x:f>
      </x:c>
      <x:c r="V7" s="79" t="str">
        <x:f>IF(AND(V$5&lt;=Cronograma!$G8,V$5+6&gt;=Cronograma!$F8),IF(Cronograma!$D8="Hito","◆","■"),"")</x:f>
      </x:c>
      <x:c r="W7" s="79" t="str">
        <x:f>IF(AND(W$5&lt;=Cronograma!$G8,W$5+6&gt;=Cronograma!$F8),IF(Cronograma!$D8="Hito","◆","■"),"")</x:f>
      </x:c>
      <x:c r="X7" s="79" t="str">
        <x:f>IF(AND(X$5&lt;=Cronograma!$G8,X$5+6&gt;=Cronograma!$F8),IF(Cronograma!$D8="Hito","◆","■"),"")</x:f>
      </x:c>
      <x:c r="Y7" s="79" t="str">
        <x:f>IF(AND(Y$5&lt;=Cronograma!$G8,Y$5+6&gt;=Cronograma!$F8),IF(Cronograma!$D8="Hito","◆","■"),"")</x:f>
      </x:c>
      <x:c r="Z7" s="79" t="str">
        <x:f>IF(AND(Z$5&lt;=Cronograma!$G8,Z$5+6&gt;=Cronograma!$F8),IF(Cronograma!$D8="Hito","◆","■"),"")</x:f>
      </x:c>
      <x:c r="AA7" s="79" t="str">
        <x:f>IF(AND(AA$5&lt;=Cronograma!$G8,AA$5+6&gt;=Cronograma!$F8),IF(Cronograma!$D8="Hito","◆","■"),"")</x:f>
      </x:c>
      <x:c r="AB7" s="79" t="str">
        <x:f>IF(AND(AB$5&lt;=Cronograma!$G8,AB$5+6&gt;=Cronograma!$F8),IF(Cronograma!$D8="Hito","◆","■"),"")</x:f>
      </x:c>
      <x:c r="AC7" s="79" t="str">
        <x:f>IF(AND(AC$5&lt;=Cronograma!$G8,AC$5+6&gt;=Cronograma!$F8),IF(Cronograma!$D8="Hito","◆","■"),"")</x:f>
      </x:c>
      <x:c r="AD7" s="79" t="str">
        <x:f>IF(AND(AD$5&lt;=Cronograma!$G8,AD$5+6&gt;=Cronograma!$F8),IF(Cronograma!$D8="Hito","◆","■"),"")</x:f>
      </x:c>
      <x:c r="AE7" s="79" t="str">
        <x:f>IF(AND(AE$5&lt;=Cronograma!$G8,AE$5+6&gt;=Cronograma!$F8),IF(Cronograma!$D8="Hito","◆","■"),"")</x:f>
      </x:c>
      <x:c r="AF7" s="79" t="str">
        <x:f>IF(AND(AF$5&lt;=Cronograma!$G8,AF$5+6&gt;=Cronograma!$F8),IF(Cronograma!$D8="Hito","◆","■"),"")</x:f>
      </x:c>
      <x:c r="AG7" s="79" t="str">
        <x:f>IF(AND(AG$5&lt;=Cronograma!$G8,AG$5+6&gt;=Cronograma!$F8),IF(Cronograma!$D8="Hito","◆","■"),"")</x:f>
      </x:c>
      <x:c r="AH7" s="79" t="str">
        <x:f>IF(AND(AH$5&lt;=Cronograma!$G8,AH$5+6&gt;=Cronograma!$F8),IF(Cronograma!$D8="Hito","◆","■"),"")</x:f>
      </x:c>
      <x:c r="AI7" s="79" t="str">
        <x:f>IF(AND(AI$5&lt;=Cronograma!$G8,AI$5+6&gt;=Cronograma!$F8),IF(Cronograma!$D8="Hito","◆","■"),"")</x:f>
      </x:c>
      <x:c r="AJ7" s="79" t="str">
        <x:f>IF(AND(AJ$5&lt;=Cronograma!$G8,AJ$5+6&gt;=Cronograma!$F8),IF(Cronograma!$D8="Hito","◆","■"),"")</x:f>
      </x:c>
      <x:c r="AK7" s="79" t="str">
        <x:f>IF(AND(AK$5&lt;=Cronograma!$G8,AK$5+6&gt;=Cronograma!$F8),IF(Cronograma!$D8="Hito","◆","■"),"")</x:f>
      </x:c>
      <x:c r="AL7" s="79" t="str">
        <x:f>IF(AND(AL$5&lt;=Cronograma!$G8,AL$5+6&gt;=Cronograma!$F8),IF(Cronograma!$D8="Hito","◆","■"),"")</x:f>
      </x:c>
      <x:c r="AM7" s="79" t="str">
        <x:f>IF(AND(AM$5&lt;=Cronograma!$G8,AM$5+6&gt;=Cronograma!$F8),IF(Cronograma!$D8="Hito","◆","■"),"")</x:f>
      </x:c>
      <x:c r="AN7" s="79" t="str">
        <x:f>IF(AND(AN$5&lt;=Cronograma!$G8,AN$5+6&gt;=Cronograma!$F8),IF(Cronograma!$D8="Hito","◆","■"),"")</x:f>
      </x:c>
      <x:c r="AO7" s="79" t="str">
        <x:f>IF(AND(AO$5&lt;=Cronograma!$G8,AO$5+6&gt;=Cronograma!$F8),IF(Cronograma!$D8="Hito","◆","■"),"")</x:f>
      </x:c>
      <x:c r="AP7" s="79" t="str">
        <x:f>IF(AND(AP$5&lt;=Cronograma!$G8,AP$5+6&gt;=Cronograma!$F8),IF(Cronograma!$D8="Hito","◆","■"),"")</x:f>
      </x:c>
      <x:c r="AQ7" s="79" t="str">
        <x:f>IF(AND(AQ$5&lt;=Cronograma!$G8,AQ$5+6&gt;=Cronograma!$F8),IF(Cronograma!$D8="Hito","◆","■"),"")</x:f>
      </x:c>
      <x:c r="AR7" s="79" t="str">
        <x:f>IF(AND(AR$5&lt;=Cronograma!$G8,AR$5+6&gt;=Cronograma!$F8),IF(Cronograma!$D8="Hito","◆","■"),"")</x:f>
      </x:c>
    </x:row>
    <x:row r="8" ht="25" customHeight="1">
      <x:c r="A8" s="76" t="str">
        <x:f>Cronograma!A9</x:f>
        <x:v>LM-03</x:v>
      </x:c>
      <x:c r="B8" s="76" t="str">
        <x:f>Cronograma!B9</x:f>
        <x:v>Levantamiento del modelo inicial</x:v>
      </x:c>
      <x:c r="C8" s="76" t="str">
        <x:f>Cronograma!C9</x:f>
        <x:v>Construcción de diagrama entidad relación</x:v>
      </x:c>
      <x:c r="D8" s="77" t="n">
        <x:f>Cronograma!F9</x:f>
        <x:v>46274</x:v>
      </x:c>
      <x:c r="E8" s="77" t="n">
        <x:f>Cronograma!G9</x:f>
        <x:v>46277</x:v>
      </x:c>
      <x:c r="F8" s="78" t="n">
        <x:f>Cronograma!H9</x:f>
        <x:v>4</x:v>
      </x:c>
      <x:c r="G8" s="79" t="str">
        <x:f>IF(AND(G$5&lt;=Cronograma!$G9,G$5+6&gt;=Cronograma!$F9),IF(Cronograma!$D9="Hito","◆","■"),"")</x:f>
        <x:v>■</x:v>
      </x:c>
      <x:c r="H8" s="79" t="str">
        <x:f>IF(AND(H$5&lt;=Cronograma!$G9,H$5+6&gt;=Cronograma!$F9),IF(Cronograma!$D9="Hito","◆","■"),"")</x:f>
      </x:c>
      <x:c r="I8" s="79" t="str">
        <x:f>IF(AND(I$5&lt;=Cronograma!$G9,I$5+6&gt;=Cronograma!$F9),IF(Cronograma!$D9="Hito","◆","■"),"")</x:f>
      </x:c>
      <x:c r="J8" s="79" t="str">
        <x:f>IF(AND(J$5&lt;=Cronograma!$G9,J$5+6&gt;=Cronograma!$F9),IF(Cronograma!$D9="Hito","◆","■"),"")</x:f>
      </x:c>
      <x:c r="K8" s="79" t="str">
        <x:f>IF(AND(K$5&lt;=Cronograma!$G9,K$5+6&gt;=Cronograma!$F9),IF(Cronograma!$D9="Hito","◆","■"),"")</x:f>
      </x:c>
      <x:c r="L8" s="79" t="str">
        <x:f>IF(AND(L$5&lt;=Cronograma!$G9,L$5+6&gt;=Cronograma!$F9),IF(Cronograma!$D9="Hito","◆","■"),"")</x:f>
      </x:c>
      <x:c r="M8" s="79" t="str">
        <x:f>IF(AND(M$5&lt;=Cronograma!$G9,M$5+6&gt;=Cronograma!$F9),IF(Cronograma!$D9="Hito","◆","■"),"")</x:f>
      </x:c>
      <x:c r="N8" s="79" t="str">
        <x:f>IF(AND(N$5&lt;=Cronograma!$G9,N$5+6&gt;=Cronograma!$F9),IF(Cronograma!$D9="Hito","◆","■"),"")</x:f>
      </x:c>
      <x:c r="O8" s="79" t="str">
        <x:f>IF(AND(O$5&lt;=Cronograma!$G9,O$5+6&gt;=Cronograma!$F9),IF(Cronograma!$D9="Hito","◆","■"),"")</x:f>
      </x:c>
      <x:c r="P8" s="79" t="str">
        <x:f>IF(AND(P$5&lt;=Cronograma!$G9,P$5+6&gt;=Cronograma!$F9),IF(Cronograma!$D9="Hito","◆","■"),"")</x:f>
      </x:c>
      <x:c r="Q8" s="79" t="str">
        <x:f>IF(AND(Q$5&lt;=Cronograma!$G9,Q$5+6&gt;=Cronograma!$F9),IF(Cronograma!$D9="Hito","◆","■"),"")</x:f>
      </x:c>
      <x:c r="R8" s="79" t="str">
        <x:f>IF(AND(R$5&lt;=Cronograma!$G9,R$5+6&gt;=Cronograma!$F9),IF(Cronograma!$D9="Hito","◆","■"),"")</x:f>
      </x:c>
      <x:c r="S8" s="79" t="str">
        <x:f>IF(AND(S$5&lt;=Cronograma!$G9,S$5+6&gt;=Cronograma!$F9),IF(Cronograma!$D9="Hito","◆","■"),"")</x:f>
      </x:c>
      <x:c r="T8" s="79" t="str">
        <x:f>IF(AND(T$5&lt;=Cronograma!$G9,T$5+6&gt;=Cronograma!$F9),IF(Cronograma!$D9="Hito","◆","■"),"")</x:f>
      </x:c>
      <x:c r="U8" s="79" t="str">
        <x:f>IF(AND(U$5&lt;=Cronograma!$G9,U$5+6&gt;=Cronograma!$F9),IF(Cronograma!$D9="Hito","◆","■"),"")</x:f>
      </x:c>
      <x:c r="V8" s="79" t="str">
        <x:f>IF(AND(V$5&lt;=Cronograma!$G9,V$5+6&gt;=Cronograma!$F9),IF(Cronograma!$D9="Hito","◆","■"),"")</x:f>
      </x:c>
      <x:c r="W8" s="79" t="str">
        <x:f>IF(AND(W$5&lt;=Cronograma!$G9,W$5+6&gt;=Cronograma!$F9),IF(Cronograma!$D9="Hito","◆","■"),"")</x:f>
      </x:c>
      <x:c r="X8" s="79" t="str">
        <x:f>IF(AND(X$5&lt;=Cronograma!$G9,X$5+6&gt;=Cronograma!$F9),IF(Cronograma!$D9="Hito","◆","■"),"")</x:f>
      </x:c>
      <x:c r="Y8" s="79" t="str">
        <x:f>IF(AND(Y$5&lt;=Cronograma!$G9,Y$5+6&gt;=Cronograma!$F9),IF(Cronograma!$D9="Hito","◆","■"),"")</x:f>
      </x:c>
      <x:c r="Z8" s="79" t="str">
        <x:f>IF(AND(Z$5&lt;=Cronograma!$G9,Z$5+6&gt;=Cronograma!$F9),IF(Cronograma!$D9="Hito","◆","■"),"")</x:f>
      </x:c>
      <x:c r="AA8" s="79" t="str">
        <x:f>IF(AND(AA$5&lt;=Cronograma!$G9,AA$5+6&gt;=Cronograma!$F9),IF(Cronograma!$D9="Hito","◆","■"),"")</x:f>
      </x:c>
      <x:c r="AB8" s="79" t="str">
        <x:f>IF(AND(AB$5&lt;=Cronograma!$G9,AB$5+6&gt;=Cronograma!$F9),IF(Cronograma!$D9="Hito","◆","■"),"")</x:f>
      </x:c>
      <x:c r="AC8" s="79" t="str">
        <x:f>IF(AND(AC$5&lt;=Cronograma!$G9,AC$5+6&gt;=Cronograma!$F9),IF(Cronograma!$D9="Hito","◆","■"),"")</x:f>
      </x:c>
      <x:c r="AD8" s="79" t="str">
        <x:f>IF(AND(AD$5&lt;=Cronograma!$G9,AD$5+6&gt;=Cronograma!$F9),IF(Cronograma!$D9="Hito","◆","■"),"")</x:f>
      </x:c>
      <x:c r="AE8" s="79" t="str">
        <x:f>IF(AND(AE$5&lt;=Cronograma!$G9,AE$5+6&gt;=Cronograma!$F9),IF(Cronograma!$D9="Hito","◆","■"),"")</x:f>
      </x:c>
      <x:c r="AF8" s="79" t="str">
        <x:f>IF(AND(AF$5&lt;=Cronograma!$G9,AF$5+6&gt;=Cronograma!$F9),IF(Cronograma!$D9="Hito","◆","■"),"")</x:f>
      </x:c>
      <x:c r="AG8" s="79" t="str">
        <x:f>IF(AND(AG$5&lt;=Cronograma!$G9,AG$5+6&gt;=Cronograma!$F9),IF(Cronograma!$D9="Hito","◆","■"),"")</x:f>
      </x:c>
      <x:c r="AH8" s="79" t="str">
        <x:f>IF(AND(AH$5&lt;=Cronograma!$G9,AH$5+6&gt;=Cronograma!$F9),IF(Cronograma!$D9="Hito","◆","■"),"")</x:f>
      </x:c>
      <x:c r="AI8" s="79" t="str">
        <x:f>IF(AND(AI$5&lt;=Cronograma!$G9,AI$5+6&gt;=Cronograma!$F9),IF(Cronograma!$D9="Hito","◆","■"),"")</x:f>
      </x:c>
      <x:c r="AJ8" s="79" t="str">
        <x:f>IF(AND(AJ$5&lt;=Cronograma!$G9,AJ$5+6&gt;=Cronograma!$F9),IF(Cronograma!$D9="Hito","◆","■"),"")</x:f>
      </x:c>
      <x:c r="AK8" s="79" t="str">
        <x:f>IF(AND(AK$5&lt;=Cronograma!$G9,AK$5+6&gt;=Cronograma!$F9),IF(Cronograma!$D9="Hito","◆","■"),"")</x:f>
      </x:c>
      <x:c r="AL8" s="79" t="str">
        <x:f>IF(AND(AL$5&lt;=Cronograma!$G9,AL$5+6&gt;=Cronograma!$F9),IF(Cronograma!$D9="Hito","◆","■"),"")</x:f>
      </x:c>
      <x:c r="AM8" s="79" t="str">
        <x:f>IF(AND(AM$5&lt;=Cronograma!$G9,AM$5+6&gt;=Cronograma!$F9),IF(Cronograma!$D9="Hito","◆","■"),"")</x:f>
      </x:c>
      <x:c r="AN8" s="79" t="str">
        <x:f>IF(AND(AN$5&lt;=Cronograma!$G9,AN$5+6&gt;=Cronograma!$F9),IF(Cronograma!$D9="Hito","◆","■"),"")</x:f>
      </x:c>
      <x:c r="AO8" s="79" t="str">
        <x:f>IF(AND(AO$5&lt;=Cronograma!$G9,AO$5+6&gt;=Cronograma!$F9),IF(Cronograma!$D9="Hito","◆","■"),"")</x:f>
      </x:c>
      <x:c r="AP8" s="79" t="str">
        <x:f>IF(AND(AP$5&lt;=Cronograma!$G9,AP$5+6&gt;=Cronograma!$F9),IF(Cronograma!$D9="Hito","◆","■"),"")</x:f>
      </x:c>
      <x:c r="AQ8" s="79" t="str">
        <x:f>IF(AND(AQ$5&lt;=Cronograma!$G9,AQ$5+6&gt;=Cronograma!$F9),IF(Cronograma!$D9="Hito","◆","■"),"")</x:f>
      </x:c>
      <x:c r="AR8" s="79" t="str">
        <x:f>IF(AND(AR$5&lt;=Cronograma!$G9,AR$5+6&gt;=Cronograma!$F9),IF(Cronograma!$D9="Hito","◆","■"),"")</x:f>
      </x:c>
    </x:row>
    <x:row r="9" ht="25" customHeight="1">
      <x:c r="A9" s="76" t="str">
        <x:f>Cronograma!A10</x:f>
        <x:v>LM-04</x:v>
      </x:c>
      <x:c r="B9" s="76" t="str">
        <x:f>Cronograma!B10</x:f>
        <x:v>Levantamiento del modelo inicial</x:v>
      </x:c>
      <x:c r="C9" s="76" t="str">
        <x:f>Cronograma!C10</x:f>
        <x:v>Validar modelo y alcance con el cliente</x:v>
      </x:c>
      <x:c r="D9" s="77" t="n">
        <x:f>Cronograma!F10</x:f>
        <x:v>46281</x:v>
      </x:c>
      <x:c r="E9" s="77" t="n">
        <x:f>Cronograma!G10</x:f>
        <x:v>46296</x:v>
      </x:c>
      <x:c r="F9" s="78" t="n">
        <x:f>Cronograma!H10</x:f>
        <x:v>16</x:v>
      </x:c>
      <x:c r="G9" s="79" t="str">
        <x:f>IF(AND(G$5&lt;=Cronograma!$G10,G$5+6&gt;=Cronograma!$F10),IF(Cronograma!$D10="Hito","◆","■"),"")</x:f>
      </x:c>
      <x:c r="H9" s="79" t="str">
        <x:f>IF(AND(H$5&lt;=Cronograma!$G10,H$5+6&gt;=Cronograma!$F10),IF(Cronograma!$D10="Hito","◆","■"),"")</x:f>
        <x:v>■</x:v>
      </x:c>
      <x:c r="I9" s="79" t="str">
        <x:f>IF(AND(I$5&lt;=Cronograma!$G10,I$5+6&gt;=Cronograma!$F10),IF(Cronograma!$D10="Hito","◆","■"),"")</x:f>
        <x:v>■</x:v>
      </x:c>
      <x:c r="J9" s="79" t="str">
        <x:f>IF(AND(J$5&lt;=Cronograma!$G10,J$5+6&gt;=Cronograma!$F10),IF(Cronograma!$D10="Hito","◆","■"),"")</x:f>
        <x:v>■</x:v>
      </x:c>
      <x:c r="K9" s="79" t="str">
        <x:f>IF(AND(K$5&lt;=Cronograma!$G10,K$5+6&gt;=Cronograma!$F10),IF(Cronograma!$D10="Hito","◆","■"),"")</x:f>
      </x:c>
      <x:c r="L9" s="79" t="str">
        <x:f>IF(AND(L$5&lt;=Cronograma!$G10,L$5+6&gt;=Cronograma!$F10),IF(Cronograma!$D10="Hito","◆","■"),"")</x:f>
      </x:c>
      <x:c r="M9" s="79" t="str">
        <x:f>IF(AND(M$5&lt;=Cronograma!$G10,M$5+6&gt;=Cronograma!$F10),IF(Cronograma!$D10="Hito","◆","■"),"")</x:f>
      </x:c>
      <x:c r="N9" s="79" t="str">
        <x:f>IF(AND(N$5&lt;=Cronograma!$G10,N$5+6&gt;=Cronograma!$F10),IF(Cronograma!$D10="Hito","◆","■"),"")</x:f>
      </x:c>
      <x:c r="O9" s="79" t="str">
        <x:f>IF(AND(O$5&lt;=Cronograma!$G10,O$5+6&gt;=Cronograma!$F10),IF(Cronograma!$D10="Hito","◆","■"),"")</x:f>
      </x:c>
      <x:c r="P9" s="79" t="str">
        <x:f>IF(AND(P$5&lt;=Cronograma!$G10,P$5+6&gt;=Cronograma!$F10),IF(Cronograma!$D10="Hito","◆","■"),"")</x:f>
      </x:c>
      <x:c r="Q9" s="79" t="str">
        <x:f>IF(AND(Q$5&lt;=Cronograma!$G10,Q$5+6&gt;=Cronograma!$F10),IF(Cronograma!$D10="Hito","◆","■"),"")</x:f>
      </x:c>
      <x:c r="R9" s="79" t="str">
        <x:f>IF(AND(R$5&lt;=Cronograma!$G10,R$5+6&gt;=Cronograma!$F10),IF(Cronograma!$D10="Hito","◆","■"),"")</x:f>
      </x:c>
      <x:c r="S9" s="79" t="str">
        <x:f>IF(AND(S$5&lt;=Cronograma!$G10,S$5+6&gt;=Cronograma!$F10),IF(Cronograma!$D10="Hito","◆","■"),"")</x:f>
      </x:c>
      <x:c r="T9" s="79" t="str">
        <x:f>IF(AND(T$5&lt;=Cronograma!$G10,T$5+6&gt;=Cronograma!$F10),IF(Cronograma!$D10="Hito","◆","■"),"")</x:f>
      </x:c>
      <x:c r="U9" s="79" t="str">
        <x:f>IF(AND(U$5&lt;=Cronograma!$G10,U$5+6&gt;=Cronograma!$F10),IF(Cronograma!$D10="Hito","◆","■"),"")</x:f>
      </x:c>
      <x:c r="V9" s="79" t="str">
        <x:f>IF(AND(V$5&lt;=Cronograma!$G10,V$5+6&gt;=Cronograma!$F10),IF(Cronograma!$D10="Hito","◆","■"),"")</x:f>
      </x:c>
      <x:c r="W9" s="79" t="str">
        <x:f>IF(AND(W$5&lt;=Cronograma!$G10,W$5+6&gt;=Cronograma!$F10),IF(Cronograma!$D10="Hito","◆","■"),"")</x:f>
      </x:c>
      <x:c r="X9" s="79" t="str">
        <x:f>IF(AND(X$5&lt;=Cronograma!$G10,X$5+6&gt;=Cronograma!$F10),IF(Cronograma!$D10="Hito","◆","■"),"")</x:f>
      </x:c>
      <x:c r="Y9" s="79" t="str">
        <x:f>IF(AND(Y$5&lt;=Cronograma!$G10,Y$5+6&gt;=Cronograma!$F10),IF(Cronograma!$D10="Hito","◆","■"),"")</x:f>
      </x:c>
      <x:c r="Z9" s="79" t="str">
        <x:f>IF(AND(Z$5&lt;=Cronograma!$G10,Z$5+6&gt;=Cronograma!$F10),IF(Cronograma!$D10="Hito","◆","■"),"")</x:f>
      </x:c>
      <x:c r="AA9" s="79" t="str">
        <x:f>IF(AND(AA$5&lt;=Cronograma!$G10,AA$5+6&gt;=Cronograma!$F10),IF(Cronograma!$D10="Hito","◆","■"),"")</x:f>
      </x:c>
      <x:c r="AB9" s="79" t="str">
        <x:f>IF(AND(AB$5&lt;=Cronograma!$G10,AB$5+6&gt;=Cronograma!$F10),IF(Cronograma!$D10="Hito","◆","■"),"")</x:f>
      </x:c>
      <x:c r="AC9" s="79" t="str">
        <x:f>IF(AND(AC$5&lt;=Cronograma!$G10,AC$5+6&gt;=Cronograma!$F10),IF(Cronograma!$D10="Hito","◆","■"),"")</x:f>
      </x:c>
      <x:c r="AD9" s="79" t="str">
        <x:f>IF(AND(AD$5&lt;=Cronograma!$G10,AD$5+6&gt;=Cronograma!$F10),IF(Cronograma!$D10="Hito","◆","■"),"")</x:f>
      </x:c>
      <x:c r="AE9" s="79" t="str">
        <x:f>IF(AND(AE$5&lt;=Cronograma!$G10,AE$5+6&gt;=Cronograma!$F10),IF(Cronograma!$D10="Hito","◆","■"),"")</x:f>
      </x:c>
      <x:c r="AF9" s="79" t="str">
        <x:f>IF(AND(AF$5&lt;=Cronograma!$G10,AF$5+6&gt;=Cronograma!$F10),IF(Cronograma!$D10="Hito","◆","■"),"")</x:f>
      </x:c>
      <x:c r="AG9" s="79" t="str">
        <x:f>IF(AND(AG$5&lt;=Cronograma!$G10,AG$5+6&gt;=Cronograma!$F10),IF(Cronograma!$D10="Hito","◆","■"),"")</x:f>
      </x:c>
      <x:c r="AH9" s="79" t="str">
        <x:f>IF(AND(AH$5&lt;=Cronograma!$G10,AH$5+6&gt;=Cronograma!$F10),IF(Cronograma!$D10="Hito","◆","■"),"")</x:f>
      </x:c>
      <x:c r="AI9" s="79" t="str">
        <x:f>IF(AND(AI$5&lt;=Cronograma!$G10,AI$5+6&gt;=Cronograma!$F10),IF(Cronograma!$D10="Hito","◆","■"),"")</x:f>
      </x:c>
      <x:c r="AJ9" s="79" t="str">
        <x:f>IF(AND(AJ$5&lt;=Cronograma!$G10,AJ$5+6&gt;=Cronograma!$F10),IF(Cronograma!$D10="Hito","◆","■"),"")</x:f>
      </x:c>
      <x:c r="AK9" s="79" t="str">
        <x:f>IF(AND(AK$5&lt;=Cronograma!$G10,AK$5+6&gt;=Cronograma!$F10),IF(Cronograma!$D10="Hito","◆","■"),"")</x:f>
      </x:c>
      <x:c r="AL9" s="79" t="str">
        <x:f>IF(AND(AL$5&lt;=Cronograma!$G10,AL$5+6&gt;=Cronograma!$F10),IF(Cronograma!$D10="Hito","◆","■"),"")</x:f>
      </x:c>
      <x:c r="AM9" s="79" t="str">
        <x:f>IF(AND(AM$5&lt;=Cronograma!$G10,AM$5+6&gt;=Cronograma!$F10),IF(Cronograma!$D10="Hito","◆","■"),"")</x:f>
      </x:c>
      <x:c r="AN9" s="79" t="str">
        <x:f>IF(AND(AN$5&lt;=Cronograma!$G10,AN$5+6&gt;=Cronograma!$F10),IF(Cronograma!$D10="Hito","◆","■"),"")</x:f>
      </x:c>
      <x:c r="AO9" s="79" t="str">
        <x:f>IF(AND(AO$5&lt;=Cronograma!$G10,AO$5+6&gt;=Cronograma!$F10),IF(Cronograma!$D10="Hito","◆","■"),"")</x:f>
      </x:c>
      <x:c r="AP9" s="79" t="str">
        <x:f>IF(AND(AP$5&lt;=Cronograma!$G10,AP$5+6&gt;=Cronograma!$F10),IF(Cronograma!$D10="Hito","◆","■"),"")</x:f>
      </x:c>
      <x:c r="AQ9" s="79" t="str">
        <x:f>IF(AND(AQ$5&lt;=Cronograma!$G10,AQ$5+6&gt;=Cronograma!$F10),IF(Cronograma!$D10="Hito","◆","■"),"")</x:f>
      </x:c>
      <x:c r="AR9" s="79" t="str">
        <x:f>IF(AND(AR$5&lt;=Cronograma!$G10,AR$5+6&gt;=Cronograma!$F10),IF(Cronograma!$D10="Hito","◆","■"),"")</x:f>
      </x:c>
    </x:row>
    <x:row r="10" ht="25" customHeight="1">
      <x:c r="A10" s="76" t="str">
        <x:f>Cronograma!A11</x:f>
        <x:v>LM-05</x:v>
      </x:c>
      <x:c r="B10" s="76" t="str">
        <x:f>Cronograma!B11</x:f>
        <x:v>Levantamiento del modelo inicial</x:v>
      </x:c>
      <x:c r="C10" s="76" t="str">
        <x:f>Cronograma!C11</x:f>
        <x:v>Completar reglas de Precomisionamiento, Comisionamiento y PEM</x:v>
      </x:c>
      <x:c r="D10" s="77" t="n">
        <x:f>Cronograma!F11</x:f>
        <x:v>46281</x:v>
      </x:c>
      <x:c r="E10" s="77" t="n">
        <x:f>Cronograma!G11</x:f>
        <x:v>46296</x:v>
      </x:c>
      <x:c r="F10" s="78" t="n">
        <x:f>Cronograma!H11</x:f>
        <x:v>16</x:v>
      </x:c>
      <x:c r="G10" s="79" t="str">
        <x:f>IF(AND(G$5&lt;=Cronograma!$G11,G$5+6&gt;=Cronograma!$F11),IF(Cronograma!$D11="Hito","◆","■"),"")</x:f>
      </x:c>
      <x:c r="H10" s="79" t="str">
        <x:f>IF(AND(H$5&lt;=Cronograma!$G11,H$5+6&gt;=Cronograma!$F11),IF(Cronograma!$D11="Hito","◆","■"),"")</x:f>
        <x:v>■</x:v>
      </x:c>
      <x:c r="I10" s="79" t="str">
        <x:f>IF(AND(I$5&lt;=Cronograma!$G11,I$5+6&gt;=Cronograma!$F11),IF(Cronograma!$D11="Hito","◆","■"),"")</x:f>
        <x:v>■</x:v>
      </x:c>
      <x:c r="J10" s="79" t="str">
        <x:f>IF(AND(J$5&lt;=Cronograma!$G11,J$5+6&gt;=Cronograma!$F11),IF(Cronograma!$D11="Hito","◆","■"),"")</x:f>
        <x:v>■</x:v>
      </x:c>
      <x:c r="K10" s="79" t="str">
        <x:f>IF(AND(K$5&lt;=Cronograma!$G11,K$5+6&gt;=Cronograma!$F11),IF(Cronograma!$D11="Hito","◆","■"),"")</x:f>
      </x:c>
      <x:c r="L10" s="79" t="str">
        <x:f>IF(AND(L$5&lt;=Cronograma!$G11,L$5+6&gt;=Cronograma!$F11),IF(Cronograma!$D11="Hito","◆","■"),"")</x:f>
      </x:c>
      <x:c r="M10" s="79" t="str">
        <x:f>IF(AND(M$5&lt;=Cronograma!$G11,M$5+6&gt;=Cronograma!$F11),IF(Cronograma!$D11="Hito","◆","■"),"")</x:f>
      </x:c>
      <x:c r="N10" s="79" t="str">
        <x:f>IF(AND(N$5&lt;=Cronograma!$G11,N$5+6&gt;=Cronograma!$F11),IF(Cronograma!$D11="Hito","◆","■"),"")</x:f>
      </x:c>
      <x:c r="O10" s="79" t="str">
        <x:f>IF(AND(O$5&lt;=Cronograma!$G11,O$5+6&gt;=Cronograma!$F11),IF(Cronograma!$D11="Hito","◆","■"),"")</x:f>
      </x:c>
      <x:c r="P10" s="79" t="str">
        <x:f>IF(AND(P$5&lt;=Cronograma!$G11,P$5+6&gt;=Cronograma!$F11),IF(Cronograma!$D11="Hito","◆","■"),"")</x:f>
      </x:c>
      <x:c r="Q10" s="79" t="str">
        <x:f>IF(AND(Q$5&lt;=Cronograma!$G11,Q$5+6&gt;=Cronograma!$F11),IF(Cronograma!$D11="Hito","◆","■"),"")</x:f>
      </x:c>
      <x:c r="R10" s="79" t="str">
        <x:f>IF(AND(R$5&lt;=Cronograma!$G11,R$5+6&gt;=Cronograma!$F11),IF(Cronograma!$D11="Hito","◆","■"),"")</x:f>
      </x:c>
      <x:c r="S10" s="79" t="str">
        <x:f>IF(AND(S$5&lt;=Cronograma!$G11,S$5+6&gt;=Cronograma!$F11),IF(Cronograma!$D11="Hito","◆","■"),"")</x:f>
      </x:c>
      <x:c r="T10" s="79" t="str">
        <x:f>IF(AND(T$5&lt;=Cronograma!$G11,T$5+6&gt;=Cronograma!$F11),IF(Cronograma!$D11="Hito","◆","■"),"")</x:f>
      </x:c>
      <x:c r="U10" s="79" t="str">
        <x:f>IF(AND(U$5&lt;=Cronograma!$G11,U$5+6&gt;=Cronograma!$F11),IF(Cronograma!$D11="Hito","◆","■"),"")</x:f>
      </x:c>
      <x:c r="V10" s="79" t="str">
        <x:f>IF(AND(V$5&lt;=Cronograma!$G11,V$5+6&gt;=Cronograma!$F11),IF(Cronograma!$D11="Hito","◆","■"),"")</x:f>
      </x:c>
      <x:c r="W10" s="79" t="str">
        <x:f>IF(AND(W$5&lt;=Cronograma!$G11,W$5+6&gt;=Cronograma!$F11),IF(Cronograma!$D11="Hito","◆","■"),"")</x:f>
      </x:c>
      <x:c r="X10" s="79" t="str">
        <x:f>IF(AND(X$5&lt;=Cronograma!$G11,X$5+6&gt;=Cronograma!$F11),IF(Cronograma!$D11="Hito","◆","■"),"")</x:f>
      </x:c>
      <x:c r="Y10" s="79" t="str">
        <x:f>IF(AND(Y$5&lt;=Cronograma!$G11,Y$5+6&gt;=Cronograma!$F11),IF(Cronograma!$D11="Hito","◆","■"),"")</x:f>
      </x:c>
      <x:c r="Z10" s="79" t="str">
        <x:f>IF(AND(Z$5&lt;=Cronograma!$G11,Z$5+6&gt;=Cronograma!$F11),IF(Cronograma!$D11="Hito","◆","■"),"")</x:f>
      </x:c>
      <x:c r="AA10" s="79" t="str">
        <x:f>IF(AND(AA$5&lt;=Cronograma!$G11,AA$5+6&gt;=Cronograma!$F11),IF(Cronograma!$D11="Hito","◆","■"),"")</x:f>
      </x:c>
      <x:c r="AB10" s="79" t="str">
        <x:f>IF(AND(AB$5&lt;=Cronograma!$G11,AB$5+6&gt;=Cronograma!$F11),IF(Cronograma!$D11="Hito","◆","■"),"")</x:f>
      </x:c>
      <x:c r="AC10" s="79" t="str">
        <x:f>IF(AND(AC$5&lt;=Cronograma!$G11,AC$5+6&gt;=Cronograma!$F11),IF(Cronograma!$D11="Hito","◆","■"),"")</x:f>
      </x:c>
      <x:c r="AD10" s="79" t="str">
        <x:f>IF(AND(AD$5&lt;=Cronograma!$G11,AD$5+6&gt;=Cronograma!$F11),IF(Cronograma!$D11="Hito","◆","■"),"")</x:f>
      </x:c>
      <x:c r="AE10" s="79" t="str">
        <x:f>IF(AND(AE$5&lt;=Cronograma!$G11,AE$5+6&gt;=Cronograma!$F11),IF(Cronograma!$D11="Hito","◆","■"),"")</x:f>
      </x:c>
      <x:c r="AF10" s="79" t="str">
        <x:f>IF(AND(AF$5&lt;=Cronograma!$G11,AF$5+6&gt;=Cronograma!$F11),IF(Cronograma!$D11="Hito","◆","■"),"")</x:f>
      </x:c>
      <x:c r="AG10" s="79" t="str">
        <x:f>IF(AND(AG$5&lt;=Cronograma!$G11,AG$5+6&gt;=Cronograma!$F11),IF(Cronograma!$D11="Hito","◆","■"),"")</x:f>
      </x:c>
      <x:c r="AH10" s="79" t="str">
        <x:f>IF(AND(AH$5&lt;=Cronograma!$G11,AH$5+6&gt;=Cronograma!$F11),IF(Cronograma!$D11="Hito","◆","■"),"")</x:f>
      </x:c>
      <x:c r="AI10" s="79" t="str">
        <x:f>IF(AND(AI$5&lt;=Cronograma!$G11,AI$5+6&gt;=Cronograma!$F11),IF(Cronograma!$D11="Hito","◆","■"),"")</x:f>
      </x:c>
      <x:c r="AJ10" s="79" t="str">
        <x:f>IF(AND(AJ$5&lt;=Cronograma!$G11,AJ$5+6&gt;=Cronograma!$F11),IF(Cronograma!$D11="Hito","◆","■"),"")</x:f>
      </x:c>
      <x:c r="AK10" s="79" t="str">
        <x:f>IF(AND(AK$5&lt;=Cronograma!$G11,AK$5+6&gt;=Cronograma!$F11),IF(Cronograma!$D11="Hito","◆","■"),"")</x:f>
      </x:c>
      <x:c r="AL10" s="79" t="str">
        <x:f>IF(AND(AL$5&lt;=Cronograma!$G11,AL$5+6&gt;=Cronograma!$F11),IF(Cronograma!$D11="Hito","◆","■"),"")</x:f>
      </x:c>
      <x:c r="AM10" s="79" t="str">
        <x:f>IF(AND(AM$5&lt;=Cronograma!$G11,AM$5+6&gt;=Cronograma!$F11),IF(Cronograma!$D11="Hito","◆","■"),"")</x:f>
      </x:c>
      <x:c r="AN10" s="79" t="str">
        <x:f>IF(AND(AN$5&lt;=Cronograma!$G11,AN$5+6&gt;=Cronograma!$F11),IF(Cronograma!$D11="Hito","◆","■"),"")</x:f>
      </x:c>
      <x:c r="AO10" s="79" t="str">
        <x:f>IF(AND(AO$5&lt;=Cronograma!$G11,AO$5+6&gt;=Cronograma!$F11),IF(Cronograma!$D11="Hito","◆","■"),"")</x:f>
      </x:c>
      <x:c r="AP10" s="79" t="str">
        <x:f>IF(AND(AP$5&lt;=Cronograma!$G11,AP$5+6&gt;=Cronograma!$F11),IF(Cronograma!$D11="Hito","◆","■"),"")</x:f>
      </x:c>
      <x:c r="AQ10" s="79" t="str">
        <x:f>IF(AND(AQ$5&lt;=Cronograma!$G11,AQ$5+6&gt;=Cronograma!$F11),IF(Cronograma!$D11="Hito","◆","■"),"")</x:f>
      </x:c>
      <x:c r="AR10" s="79" t="str">
        <x:f>IF(AND(AR$5&lt;=Cronograma!$G11,AR$5+6&gt;=Cronograma!$F11),IF(Cronograma!$D11="Hito","◆","■"),"")</x:f>
      </x:c>
    </x:row>
    <x:row r="11" ht="25" customHeight="1">
      <x:c r="A11" s="80" t="str">
        <x:f>Cronograma!A12</x:f>
        <x:v>LM-H1</x:v>
      </x:c>
      <x:c r="B11" s="80" t="str">
        <x:f>Cronograma!B12</x:f>
        <x:v>Levantamiento del modelo inicial</x:v>
      </x:c>
      <x:c r="C11" s="80" t="str">
        <x:f>Cronograma!C12</x:f>
        <x:v>Hito: Aprobaciòn del modelo de la plataforma</x:v>
      </x:c>
      <x:c r="D11" s="81" t="n">
        <x:f>Cronograma!F12</x:f>
        <x:v>46297</x:v>
      </x:c>
      <x:c r="E11" s="81" t="n">
        <x:f>Cronograma!G12</x:f>
        <x:v>46297</x:v>
      </x:c>
      <x:c r="F11" s="82" t="n">
        <x:f>Cronograma!H12</x:f>
        <x:v>1</x:v>
      </x:c>
      <x:c r="G11" s="83" t="str">
        <x:f>IF(AND(G$5&lt;=Cronograma!$G12,G$5+6&gt;=Cronograma!$F12),IF(Cronograma!$D12="Hito","◆","■"),"")</x:f>
      </x:c>
      <x:c r="H11" s="83" t="str">
        <x:f>IF(AND(H$5&lt;=Cronograma!$G12,H$5+6&gt;=Cronograma!$F12),IF(Cronograma!$D12="Hito","◆","■"),"")</x:f>
      </x:c>
      <x:c r="I11" s="83" t="str">
        <x:f>IF(AND(I$5&lt;=Cronograma!$G12,I$5+6&gt;=Cronograma!$F12),IF(Cronograma!$D12="Hito","◆","■"),"")</x:f>
      </x:c>
      <x:c r="J11" s="83" t="str">
        <x:f>IF(AND(J$5&lt;=Cronograma!$G12,J$5+6&gt;=Cronograma!$F12),IF(Cronograma!$D12="Hito","◆","■"),"")</x:f>
        <x:v>◆</x:v>
      </x:c>
      <x:c r="K11" s="83" t="str">
        <x:f>IF(AND(K$5&lt;=Cronograma!$G12,K$5+6&gt;=Cronograma!$F12),IF(Cronograma!$D12="Hito","◆","■"),"")</x:f>
      </x:c>
      <x:c r="L11" s="83" t="str">
        <x:f>IF(AND(L$5&lt;=Cronograma!$G12,L$5+6&gt;=Cronograma!$F12),IF(Cronograma!$D12="Hito","◆","■"),"")</x:f>
      </x:c>
      <x:c r="M11" s="83" t="str">
        <x:f>IF(AND(M$5&lt;=Cronograma!$G12,M$5+6&gt;=Cronograma!$F12),IF(Cronograma!$D12="Hito","◆","■"),"")</x:f>
      </x:c>
      <x:c r="N11" s="83" t="str">
        <x:f>IF(AND(N$5&lt;=Cronograma!$G12,N$5+6&gt;=Cronograma!$F12),IF(Cronograma!$D12="Hito","◆","■"),"")</x:f>
      </x:c>
      <x:c r="O11" s="83" t="str">
        <x:f>IF(AND(O$5&lt;=Cronograma!$G12,O$5+6&gt;=Cronograma!$F12),IF(Cronograma!$D12="Hito","◆","■"),"")</x:f>
      </x:c>
      <x:c r="P11" s="83" t="str">
        <x:f>IF(AND(P$5&lt;=Cronograma!$G12,P$5+6&gt;=Cronograma!$F12),IF(Cronograma!$D12="Hito","◆","■"),"")</x:f>
      </x:c>
      <x:c r="Q11" s="83" t="str">
        <x:f>IF(AND(Q$5&lt;=Cronograma!$G12,Q$5+6&gt;=Cronograma!$F12),IF(Cronograma!$D12="Hito","◆","■"),"")</x:f>
      </x:c>
      <x:c r="R11" s="83" t="str">
        <x:f>IF(AND(R$5&lt;=Cronograma!$G12,R$5+6&gt;=Cronograma!$F12),IF(Cronograma!$D12="Hito","◆","■"),"")</x:f>
      </x:c>
      <x:c r="S11" s="83" t="str">
        <x:f>IF(AND(S$5&lt;=Cronograma!$G12,S$5+6&gt;=Cronograma!$F12),IF(Cronograma!$D12="Hito","◆","■"),"")</x:f>
      </x:c>
      <x:c r="T11" s="83" t="str">
        <x:f>IF(AND(T$5&lt;=Cronograma!$G12,T$5+6&gt;=Cronograma!$F12),IF(Cronograma!$D12="Hito","◆","■"),"")</x:f>
      </x:c>
      <x:c r="U11" s="83" t="str">
        <x:f>IF(AND(U$5&lt;=Cronograma!$G12,U$5+6&gt;=Cronograma!$F12),IF(Cronograma!$D12="Hito","◆","■"),"")</x:f>
      </x:c>
      <x:c r="V11" s="83" t="str">
        <x:f>IF(AND(V$5&lt;=Cronograma!$G12,V$5+6&gt;=Cronograma!$F12),IF(Cronograma!$D12="Hito","◆","■"),"")</x:f>
      </x:c>
      <x:c r="W11" s="83" t="str">
        <x:f>IF(AND(W$5&lt;=Cronograma!$G12,W$5+6&gt;=Cronograma!$F12),IF(Cronograma!$D12="Hito","◆","■"),"")</x:f>
      </x:c>
      <x:c r="X11" s="83" t="str">
        <x:f>IF(AND(X$5&lt;=Cronograma!$G12,X$5+6&gt;=Cronograma!$F12),IF(Cronograma!$D12="Hito","◆","■"),"")</x:f>
      </x:c>
      <x:c r="Y11" s="83" t="str">
        <x:f>IF(AND(Y$5&lt;=Cronograma!$G12,Y$5+6&gt;=Cronograma!$F12),IF(Cronograma!$D12="Hito","◆","■"),"")</x:f>
      </x:c>
      <x:c r="Z11" s="83" t="str">
        <x:f>IF(AND(Z$5&lt;=Cronograma!$G12,Z$5+6&gt;=Cronograma!$F12),IF(Cronograma!$D12="Hito","◆","■"),"")</x:f>
      </x:c>
      <x:c r="AA11" s="83" t="str">
        <x:f>IF(AND(AA$5&lt;=Cronograma!$G12,AA$5+6&gt;=Cronograma!$F12),IF(Cronograma!$D12="Hito","◆","■"),"")</x:f>
      </x:c>
      <x:c r="AB11" s="83" t="str">
        <x:f>IF(AND(AB$5&lt;=Cronograma!$G12,AB$5+6&gt;=Cronograma!$F12),IF(Cronograma!$D12="Hito","◆","■"),"")</x:f>
      </x:c>
      <x:c r="AC11" s="83" t="str">
        <x:f>IF(AND(AC$5&lt;=Cronograma!$G12,AC$5+6&gt;=Cronograma!$F12),IF(Cronograma!$D12="Hito","◆","■"),"")</x:f>
      </x:c>
      <x:c r="AD11" s="83" t="str">
        <x:f>IF(AND(AD$5&lt;=Cronograma!$G12,AD$5+6&gt;=Cronograma!$F12),IF(Cronograma!$D12="Hito","◆","■"),"")</x:f>
      </x:c>
      <x:c r="AE11" s="83" t="str">
        <x:f>IF(AND(AE$5&lt;=Cronograma!$G12,AE$5+6&gt;=Cronograma!$F12),IF(Cronograma!$D12="Hito","◆","■"),"")</x:f>
      </x:c>
      <x:c r="AF11" s="83" t="str">
        <x:f>IF(AND(AF$5&lt;=Cronograma!$G12,AF$5+6&gt;=Cronograma!$F12),IF(Cronograma!$D12="Hito","◆","■"),"")</x:f>
      </x:c>
      <x:c r="AG11" s="83" t="str">
        <x:f>IF(AND(AG$5&lt;=Cronograma!$G12,AG$5+6&gt;=Cronograma!$F12),IF(Cronograma!$D12="Hito","◆","■"),"")</x:f>
      </x:c>
      <x:c r="AH11" s="83" t="str">
        <x:f>IF(AND(AH$5&lt;=Cronograma!$G12,AH$5+6&gt;=Cronograma!$F12),IF(Cronograma!$D12="Hito","◆","■"),"")</x:f>
      </x:c>
      <x:c r="AI11" s="83" t="str">
        <x:f>IF(AND(AI$5&lt;=Cronograma!$G12,AI$5+6&gt;=Cronograma!$F12),IF(Cronograma!$D12="Hito","◆","■"),"")</x:f>
      </x:c>
      <x:c r="AJ11" s="83" t="str">
        <x:f>IF(AND(AJ$5&lt;=Cronograma!$G12,AJ$5+6&gt;=Cronograma!$F12),IF(Cronograma!$D12="Hito","◆","■"),"")</x:f>
      </x:c>
      <x:c r="AK11" s="83" t="str">
        <x:f>IF(AND(AK$5&lt;=Cronograma!$G12,AK$5+6&gt;=Cronograma!$F12),IF(Cronograma!$D12="Hito","◆","■"),"")</x:f>
      </x:c>
      <x:c r="AL11" s="83" t="str">
        <x:f>IF(AND(AL$5&lt;=Cronograma!$G12,AL$5+6&gt;=Cronograma!$F12),IF(Cronograma!$D12="Hito","◆","■"),"")</x:f>
      </x:c>
      <x:c r="AM11" s="83" t="str">
        <x:f>IF(AND(AM$5&lt;=Cronograma!$G12,AM$5+6&gt;=Cronograma!$F12),IF(Cronograma!$D12="Hito","◆","■"),"")</x:f>
      </x:c>
      <x:c r="AN11" s="83" t="str">
        <x:f>IF(AND(AN$5&lt;=Cronograma!$G12,AN$5+6&gt;=Cronograma!$F12),IF(Cronograma!$D12="Hito","◆","■"),"")</x:f>
      </x:c>
      <x:c r="AO11" s="83" t="str">
        <x:f>IF(AND(AO$5&lt;=Cronograma!$G12,AO$5+6&gt;=Cronograma!$F12),IF(Cronograma!$D12="Hito","◆","■"),"")</x:f>
      </x:c>
      <x:c r="AP11" s="83" t="str">
        <x:f>IF(AND(AP$5&lt;=Cronograma!$G12,AP$5+6&gt;=Cronograma!$F12),IF(Cronograma!$D12="Hito","◆","■"),"")</x:f>
      </x:c>
      <x:c r="AQ11" s="83" t="str">
        <x:f>IF(AND(AQ$5&lt;=Cronograma!$G12,AQ$5+6&gt;=Cronograma!$F12),IF(Cronograma!$D12="Hito","◆","■"),"")</x:f>
      </x:c>
      <x:c r="AR11" s="83" t="str">
        <x:f>IF(AND(AR$5&lt;=Cronograma!$G12,AR$5+6&gt;=Cronograma!$F12),IF(Cronograma!$D12="Hito","◆","■"),"")</x:f>
      </x:c>
    </x:row>
    <x:row r="12" ht="25" customHeight="1">
      <x:c r="A12" s="76" t="str">
        <x:f>Cronograma!A13</x:f>
        <x:v>PA-01</x:v>
      </x:c>
      <x:c r="B12" s="76" t="str">
        <x:f>Cronograma!B13</x:f>
        <x:v>Preparación de ambiente de trabajo</x:v>
      </x:c>
      <x:c r="C12" s="76" t="str">
        <x:f>Cronograma!C13</x:f>
        <x:v>Revisión de arquitectura, ambientes y seguridad</x:v>
      </x:c>
      <x:c r="D12" s="77" t="n">
        <x:f>Cronograma!F13</x:f>
        <x:v>46293</x:v>
      </x:c>
      <x:c r="E12" s="77" t="n">
        <x:f>Cronograma!G13</x:f>
        <x:v>46304</x:v>
      </x:c>
      <x:c r="F12" s="78" t="n">
        <x:f>Cronograma!H13</x:f>
        <x:v>12</x:v>
      </x:c>
      <x:c r="G12" s="79" t="str">
        <x:f>IF(AND(G$5&lt;=Cronograma!$G13,G$5+6&gt;=Cronograma!$F13),IF(Cronograma!$D13="Hito","◆","■"),"")</x:f>
      </x:c>
      <x:c r="H12" s="79" t="str">
        <x:f>IF(AND(H$5&lt;=Cronograma!$G13,H$5+6&gt;=Cronograma!$F13),IF(Cronograma!$D13="Hito","◆","■"),"")</x:f>
      </x:c>
      <x:c r="I12" s="79" t="str">
        <x:f>IF(AND(I$5&lt;=Cronograma!$G13,I$5+6&gt;=Cronograma!$F13),IF(Cronograma!$D13="Hito","◆","■"),"")</x:f>
      </x:c>
      <x:c r="J12" s="79" t="str">
        <x:f>IF(AND(J$5&lt;=Cronograma!$G13,J$5+6&gt;=Cronograma!$F13),IF(Cronograma!$D13="Hito","◆","■"),"")</x:f>
        <x:v>■</x:v>
      </x:c>
      <x:c r="K12" s="79" t="str">
        <x:f>IF(AND(K$5&lt;=Cronograma!$G13,K$5+6&gt;=Cronograma!$F13),IF(Cronograma!$D13="Hito","◆","■"),"")</x:f>
        <x:v>■</x:v>
      </x:c>
      <x:c r="L12" s="79" t="str">
        <x:f>IF(AND(L$5&lt;=Cronograma!$G13,L$5+6&gt;=Cronograma!$F13),IF(Cronograma!$D13="Hito","◆","■"),"")</x:f>
      </x:c>
      <x:c r="M12" s="79" t="str">
        <x:f>IF(AND(M$5&lt;=Cronograma!$G13,M$5+6&gt;=Cronograma!$F13),IF(Cronograma!$D13="Hito","◆","■"),"")</x:f>
      </x:c>
      <x:c r="N12" s="79" t="str">
        <x:f>IF(AND(N$5&lt;=Cronograma!$G13,N$5+6&gt;=Cronograma!$F13),IF(Cronograma!$D13="Hito","◆","■"),"")</x:f>
      </x:c>
      <x:c r="O12" s="79" t="str">
        <x:f>IF(AND(O$5&lt;=Cronograma!$G13,O$5+6&gt;=Cronograma!$F13),IF(Cronograma!$D13="Hito","◆","■"),"")</x:f>
      </x:c>
      <x:c r="P12" s="79" t="str">
        <x:f>IF(AND(P$5&lt;=Cronograma!$G13,P$5+6&gt;=Cronograma!$F13),IF(Cronograma!$D13="Hito","◆","■"),"")</x:f>
      </x:c>
      <x:c r="Q12" s="79" t="str">
        <x:f>IF(AND(Q$5&lt;=Cronograma!$G13,Q$5+6&gt;=Cronograma!$F13),IF(Cronograma!$D13="Hito","◆","■"),"")</x:f>
      </x:c>
      <x:c r="R12" s="79" t="str">
        <x:f>IF(AND(R$5&lt;=Cronograma!$G13,R$5+6&gt;=Cronograma!$F13),IF(Cronograma!$D13="Hito","◆","■"),"")</x:f>
      </x:c>
      <x:c r="S12" s="79" t="str">
        <x:f>IF(AND(S$5&lt;=Cronograma!$G13,S$5+6&gt;=Cronograma!$F13),IF(Cronograma!$D13="Hito","◆","■"),"")</x:f>
      </x:c>
      <x:c r="T12" s="79" t="str">
        <x:f>IF(AND(T$5&lt;=Cronograma!$G13,T$5+6&gt;=Cronograma!$F13),IF(Cronograma!$D13="Hito","◆","■"),"")</x:f>
      </x:c>
      <x:c r="U12" s="79" t="str">
        <x:f>IF(AND(U$5&lt;=Cronograma!$G13,U$5+6&gt;=Cronograma!$F13),IF(Cronograma!$D13="Hito","◆","■"),"")</x:f>
      </x:c>
      <x:c r="V12" s="79" t="str">
        <x:f>IF(AND(V$5&lt;=Cronograma!$G13,V$5+6&gt;=Cronograma!$F13),IF(Cronograma!$D13="Hito","◆","■"),"")</x:f>
      </x:c>
      <x:c r="W12" s="79" t="str">
        <x:f>IF(AND(W$5&lt;=Cronograma!$G13,W$5+6&gt;=Cronograma!$F13),IF(Cronograma!$D13="Hito","◆","■"),"")</x:f>
      </x:c>
      <x:c r="X12" s="79" t="str">
        <x:f>IF(AND(X$5&lt;=Cronograma!$G13,X$5+6&gt;=Cronograma!$F13),IF(Cronograma!$D13="Hito","◆","■"),"")</x:f>
      </x:c>
      <x:c r="Y12" s="79" t="str">
        <x:f>IF(AND(Y$5&lt;=Cronograma!$G13,Y$5+6&gt;=Cronograma!$F13),IF(Cronograma!$D13="Hito","◆","■"),"")</x:f>
      </x:c>
      <x:c r="Z12" s="79" t="str">
        <x:f>IF(AND(Z$5&lt;=Cronograma!$G13,Z$5+6&gt;=Cronograma!$F13),IF(Cronograma!$D13="Hito","◆","■"),"")</x:f>
      </x:c>
      <x:c r="AA12" s="79" t="str">
        <x:f>IF(AND(AA$5&lt;=Cronograma!$G13,AA$5+6&gt;=Cronograma!$F13),IF(Cronograma!$D13="Hito","◆","■"),"")</x:f>
      </x:c>
      <x:c r="AB12" s="79" t="str">
        <x:f>IF(AND(AB$5&lt;=Cronograma!$G13,AB$5+6&gt;=Cronograma!$F13),IF(Cronograma!$D13="Hito","◆","■"),"")</x:f>
      </x:c>
      <x:c r="AC12" s="79" t="str">
        <x:f>IF(AND(AC$5&lt;=Cronograma!$G13,AC$5+6&gt;=Cronograma!$F13),IF(Cronograma!$D13="Hito","◆","■"),"")</x:f>
      </x:c>
      <x:c r="AD12" s="79" t="str">
        <x:f>IF(AND(AD$5&lt;=Cronograma!$G13,AD$5+6&gt;=Cronograma!$F13),IF(Cronograma!$D13="Hito","◆","■"),"")</x:f>
      </x:c>
      <x:c r="AE12" s="79" t="str">
        <x:f>IF(AND(AE$5&lt;=Cronograma!$G13,AE$5+6&gt;=Cronograma!$F13),IF(Cronograma!$D13="Hito","◆","■"),"")</x:f>
      </x:c>
      <x:c r="AF12" s="79" t="str">
        <x:f>IF(AND(AF$5&lt;=Cronograma!$G13,AF$5+6&gt;=Cronograma!$F13),IF(Cronograma!$D13="Hito","◆","■"),"")</x:f>
      </x:c>
      <x:c r="AG12" s="79" t="str">
        <x:f>IF(AND(AG$5&lt;=Cronograma!$G13,AG$5+6&gt;=Cronograma!$F13),IF(Cronograma!$D13="Hito","◆","■"),"")</x:f>
      </x:c>
      <x:c r="AH12" s="79" t="str">
        <x:f>IF(AND(AH$5&lt;=Cronograma!$G13,AH$5+6&gt;=Cronograma!$F13),IF(Cronograma!$D13="Hito","◆","■"),"")</x:f>
      </x:c>
      <x:c r="AI12" s="79" t="str">
        <x:f>IF(AND(AI$5&lt;=Cronograma!$G13,AI$5+6&gt;=Cronograma!$F13),IF(Cronograma!$D13="Hito","◆","■"),"")</x:f>
      </x:c>
      <x:c r="AJ12" s="79" t="str">
        <x:f>IF(AND(AJ$5&lt;=Cronograma!$G13,AJ$5+6&gt;=Cronograma!$F13),IF(Cronograma!$D13="Hito","◆","■"),"")</x:f>
      </x:c>
      <x:c r="AK12" s="79" t="str">
        <x:f>IF(AND(AK$5&lt;=Cronograma!$G13,AK$5+6&gt;=Cronograma!$F13),IF(Cronograma!$D13="Hito","◆","■"),"")</x:f>
      </x:c>
      <x:c r="AL12" s="79" t="str">
        <x:f>IF(AND(AL$5&lt;=Cronograma!$G13,AL$5+6&gt;=Cronograma!$F13),IF(Cronograma!$D13="Hito","◆","■"),"")</x:f>
      </x:c>
      <x:c r="AM12" s="79" t="str">
        <x:f>IF(AND(AM$5&lt;=Cronograma!$G13,AM$5+6&gt;=Cronograma!$F13),IF(Cronograma!$D13="Hito","◆","■"),"")</x:f>
      </x:c>
      <x:c r="AN12" s="79" t="str">
        <x:f>IF(AND(AN$5&lt;=Cronograma!$G13,AN$5+6&gt;=Cronograma!$F13),IF(Cronograma!$D13="Hito","◆","■"),"")</x:f>
      </x:c>
      <x:c r="AO12" s="79" t="str">
        <x:f>IF(AND(AO$5&lt;=Cronograma!$G13,AO$5+6&gt;=Cronograma!$F13),IF(Cronograma!$D13="Hito","◆","■"),"")</x:f>
      </x:c>
      <x:c r="AP12" s="79" t="str">
        <x:f>IF(AND(AP$5&lt;=Cronograma!$G13,AP$5+6&gt;=Cronograma!$F13),IF(Cronograma!$D13="Hito","◆","■"),"")</x:f>
      </x:c>
      <x:c r="AQ12" s="79" t="str">
        <x:f>IF(AND(AQ$5&lt;=Cronograma!$G13,AQ$5+6&gt;=Cronograma!$F13),IF(Cronograma!$D13="Hito","◆","■"),"")</x:f>
      </x:c>
      <x:c r="AR12" s="79" t="str">
        <x:f>IF(AND(AR$5&lt;=Cronograma!$G13,AR$5+6&gt;=Cronograma!$F13),IF(Cronograma!$D13="Hito","◆","■"),"")</x:f>
      </x:c>
    </x:row>
    <x:row r="13" ht="25" customHeight="1">
      <x:c r="A13" s="76" t="str">
        <x:f>Cronograma!A14</x:f>
        <x:v>PA-02</x:v>
      </x:c>
      <x:c r="B13" s="76" t="str">
        <x:f>Cronograma!B14</x:f>
        <x:v>Preparación de ambiente de trabajo</x:v>
      </x:c>
      <x:c r="C13" s="76" t="str">
        <x:f>Cronograma!C14</x:f>
        <x:v>Configuración IDE</x:v>
      </x:c>
      <x:c r="D13" s="77" t="n">
        <x:f>Cronograma!F14</x:f>
        <x:v>46300</x:v>
      </x:c>
      <x:c r="E13" s="77" t="n">
        <x:f>Cronograma!G14</x:f>
        <x:v>46304</x:v>
      </x:c>
      <x:c r="F13" s="78" t="n">
        <x:f>Cronograma!H14</x:f>
        <x:v>5</x:v>
      </x:c>
      <x:c r="G13" s="79" t="str">
        <x:f>IF(AND(G$5&lt;=Cronograma!$G14,G$5+6&gt;=Cronograma!$F14),IF(Cronograma!$D14="Hito","◆","■"),"")</x:f>
      </x:c>
      <x:c r="H13" s="79" t="str">
        <x:f>IF(AND(H$5&lt;=Cronograma!$G14,H$5+6&gt;=Cronograma!$F14),IF(Cronograma!$D14="Hito","◆","■"),"")</x:f>
      </x:c>
      <x:c r="I13" s="79" t="str">
        <x:f>IF(AND(I$5&lt;=Cronograma!$G14,I$5+6&gt;=Cronograma!$F14),IF(Cronograma!$D14="Hito","◆","■"),"")</x:f>
      </x:c>
      <x:c r="J13" s="79" t="str">
        <x:f>IF(AND(J$5&lt;=Cronograma!$G14,J$5+6&gt;=Cronograma!$F14),IF(Cronograma!$D14="Hito","◆","■"),"")</x:f>
      </x:c>
      <x:c r="K13" s="79" t="str">
        <x:f>IF(AND(K$5&lt;=Cronograma!$G14,K$5+6&gt;=Cronograma!$F14),IF(Cronograma!$D14="Hito","◆","■"),"")</x:f>
        <x:v>■</x:v>
      </x:c>
      <x:c r="L13" s="79" t="str">
        <x:f>IF(AND(L$5&lt;=Cronograma!$G14,L$5+6&gt;=Cronograma!$F14),IF(Cronograma!$D14="Hito","◆","■"),"")</x:f>
      </x:c>
      <x:c r="M13" s="79" t="str">
        <x:f>IF(AND(M$5&lt;=Cronograma!$G14,M$5+6&gt;=Cronograma!$F14),IF(Cronograma!$D14="Hito","◆","■"),"")</x:f>
      </x:c>
      <x:c r="N13" s="79" t="str">
        <x:f>IF(AND(N$5&lt;=Cronograma!$G14,N$5+6&gt;=Cronograma!$F14),IF(Cronograma!$D14="Hito","◆","■"),"")</x:f>
      </x:c>
      <x:c r="O13" s="79" t="str">
        <x:f>IF(AND(O$5&lt;=Cronograma!$G14,O$5+6&gt;=Cronograma!$F14),IF(Cronograma!$D14="Hito","◆","■"),"")</x:f>
      </x:c>
      <x:c r="P13" s="79" t="str">
        <x:f>IF(AND(P$5&lt;=Cronograma!$G14,P$5+6&gt;=Cronograma!$F14),IF(Cronograma!$D14="Hito","◆","■"),"")</x:f>
      </x:c>
      <x:c r="Q13" s="79" t="str">
        <x:f>IF(AND(Q$5&lt;=Cronograma!$G14,Q$5+6&gt;=Cronograma!$F14),IF(Cronograma!$D14="Hito","◆","■"),"")</x:f>
      </x:c>
      <x:c r="R13" s="79" t="str">
        <x:f>IF(AND(R$5&lt;=Cronograma!$G14,R$5+6&gt;=Cronograma!$F14),IF(Cronograma!$D14="Hito","◆","■"),"")</x:f>
      </x:c>
      <x:c r="S13" s="79" t="str">
        <x:f>IF(AND(S$5&lt;=Cronograma!$G14,S$5+6&gt;=Cronograma!$F14),IF(Cronograma!$D14="Hito","◆","■"),"")</x:f>
      </x:c>
      <x:c r="T13" s="79" t="str">
        <x:f>IF(AND(T$5&lt;=Cronograma!$G14,T$5+6&gt;=Cronograma!$F14),IF(Cronograma!$D14="Hito","◆","■"),"")</x:f>
      </x:c>
      <x:c r="U13" s="79" t="str">
        <x:f>IF(AND(U$5&lt;=Cronograma!$G14,U$5+6&gt;=Cronograma!$F14),IF(Cronograma!$D14="Hito","◆","■"),"")</x:f>
      </x:c>
      <x:c r="V13" s="79" t="str">
        <x:f>IF(AND(V$5&lt;=Cronograma!$G14,V$5+6&gt;=Cronograma!$F14),IF(Cronograma!$D14="Hito","◆","■"),"")</x:f>
      </x:c>
      <x:c r="W13" s="79" t="str">
        <x:f>IF(AND(W$5&lt;=Cronograma!$G14,W$5+6&gt;=Cronograma!$F14),IF(Cronograma!$D14="Hito","◆","■"),"")</x:f>
      </x:c>
      <x:c r="X13" s="79" t="str">
        <x:f>IF(AND(X$5&lt;=Cronograma!$G14,X$5+6&gt;=Cronograma!$F14),IF(Cronograma!$D14="Hito","◆","■"),"")</x:f>
      </x:c>
      <x:c r="Y13" s="79" t="str">
        <x:f>IF(AND(Y$5&lt;=Cronograma!$G14,Y$5+6&gt;=Cronograma!$F14),IF(Cronograma!$D14="Hito","◆","■"),"")</x:f>
      </x:c>
      <x:c r="Z13" s="79" t="str">
        <x:f>IF(AND(Z$5&lt;=Cronograma!$G14,Z$5+6&gt;=Cronograma!$F14),IF(Cronograma!$D14="Hito","◆","■"),"")</x:f>
      </x:c>
      <x:c r="AA13" s="79" t="str">
        <x:f>IF(AND(AA$5&lt;=Cronograma!$G14,AA$5+6&gt;=Cronograma!$F14),IF(Cronograma!$D14="Hito","◆","■"),"")</x:f>
      </x:c>
      <x:c r="AB13" s="79" t="str">
        <x:f>IF(AND(AB$5&lt;=Cronograma!$G14,AB$5+6&gt;=Cronograma!$F14),IF(Cronograma!$D14="Hito","◆","■"),"")</x:f>
      </x:c>
      <x:c r="AC13" s="79" t="str">
        <x:f>IF(AND(AC$5&lt;=Cronograma!$G14,AC$5+6&gt;=Cronograma!$F14),IF(Cronograma!$D14="Hito","◆","■"),"")</x:f>
      </x:c>
      <x:c r="AD13" s="79" t="str">
        <x:f>IF(AND(AD$5&lt;=Cronograma!$G14,AD$5+6&gt;=Cronograma!$F14),IF(Cronograma!$D14="Hito","◆","■"),"")</x:f>
      </x:c>
      <x:c r="AE13" s="79" t="str">
        <x:f>IF(AND(AE$5&lt;=Cronograma!$G14,AE$5+6&gt;=Cronograma!$F14),IF(Cronograma!$D14="Hito","◆","■"),"")</x:f>
      </x:c>
      <x:c r="AF13" s="79" t="str">
        <x:f>IF(AND(AF$5&lt;=Cronograma!$G14,AF$5+6&gt;=Cronograma!$F14),IF(Cronograma!$D14="Hito","◆","■"),"")</x:f>
      </x:c>
      <x:c r="AG13" s="79" t="str">
        <x:f>IF(AND(AG$5&lt;=Cronograma!$G14,AG$5+6&gt;=Cronograma!$F14),IF(Cronograma!$D14="Hito","◆","■"),"")</x:f>
      </x:c>
      <x:c r="AH13" s="79" t="str">
        <x:f>IF(AND(AH$5&lt;=Cronograma!$G14,AH$5+6&gt;=Cronograma!$F14),IF(Cronograma!$D14="Hito","◆","■"),"")</x:f>
      </x:c>
      <x:c r="AI13" s="79" t="str">
        <x:f>IF(AND(AI$5&lt;=Cronograma!$G14,AI$5+6&gt;=Cronograma!$F14),IF(Cronograma!$D14="Hito","◆","■"),"")</x:f>
      </x:c>
      <x:c r="AJ13" s="79" t="str">
        <x:f>IF(AND(AJ$5&lt;=Cronograma!$G14,AJ$5+6&gt;=Cronograma!$F14),IF(Cronograma!$D14="Hito","◆","■"),"")</x:f>
      </x:c>
      <x:c r="AK13" s="79" t="str">
        <x:f>IF(AND(AK$5&lt;=Cronograma!$G14,AK$5+6&gt;=Cronograma!$F14),IF(Cronograma!$D14="Hito","◆","■"),"")</x:f>
      </x:c>
      <x:c r="AL13" s="79" t="str">
        <x:f>IF(AND(AL$5&lt;=Cronograma!$G14,AL$5+6&gt;=Cronograma!$F14),IF(Cronograma!$D14="Hito","◆","■"),"")</x:f>
      </x:c>
      <x:c r="AM13" s="79" t="str">
        <x:f>IF(AND(AM$5&lt;=Cronograma!$G14,AM$5+6&gt;=Cronograma!$F14),IF(Cronograma!$D14="Hito","◆","■"),"")</x:f>
      </x:c>
      <x:c r="AN13" s="79" t="str">
        <x:f>IF(AND(AN$5&lt;=Cronograma!$G14,AN$5+6&gt;=Cronograma!$F14),IF(Cronograma!$D14="Hito","◆","■"),"")</x:f>
      </x:c>
      <x:c r="AO13" s="79" t="str">
        <x:f>IF(AND(AO$5&lt;=Cronograma!$G14,AO$5+6&gt;=Cronograma!$F14),IF(Cronograma!$D14="Hito","◆","■"),"")</x:f>
      </x:c>
      <x:c r="AP13" s="79" t="str">
        <x:f>IF(AND(AP$5&lt;=Cronograma!$G14,AP$5+6&gt;=Cronograma!$F14),IF(Cronograma!$D14="Hito","◆","■"),"")</x:f>
      </x:c>
      <x:c r="AQ13" s="79" t="str">
        <x:f>IF(AND(AQ$5&lt;=Cronograma!$G14,AQ$5+6&gt;=Cronograma!$F14),IF(Cronograma!$D14="Hito","◆","■"),"")</x:f>
      </x:c>
      <x:c r="AR13" s="79" t="str">
        <x:f>IF(AND(AR$5&lt;=Cronograma!$G14,AR$5+6&gt;=Cronograma!$F14),IF(Cronograma!$D14="Hito","◆","■"),"")</x:f>
      </x:c>
    </x:row>
    <x:row r="14" ht="25" customHeight="1">
      <x:c r="A14" s="76" t="str">
        <x:f>Cronograma!A15</x:f>
        <x:v>PA-03</x:v>
      </x:c>
      <x:c r="B14" s="76" t="str">
        <x:f>Cronograma!B15</x:f>
        <x:v>Preparación de ambiente de trabajo</x:v>
      </x:c>
      <x:c r="C14" s="76" t="str">
        <x:f>Cronograma!C15</x:f>
        <x:v>Instalaciòn de librerias backend y frontend</x:v>
      </x:c>
      <x:c r="D14" s="77" t="n">
        <x:f>Cronograma!F15</x:f>
        <x:v>46302</x:v>
      </x:c>
      <x:c r="E14" s="77" t="n">
        <x:f>Cronograma!G15</x:f>
        <x:v>46311</x:v>
      </x:c>
      <x:c r="F14" s="78" t="n">
        <x:f>Cronograma!H15</x:f>
        <x:v>10</x:v>
      </x:c>
      <x:c r="G14" s="79" t="str">
        <x:f>IF(AND(G$5&lt;=Cronograma!$G15,G$5+6&gt;=Cronograma!$F15),IF(Cronograma!$D15="Hito","◆","■"),"")</x:f>
      </x:c>
      <x:c r="H14" s="79" t="str">
        <x:f>IF(AND(H$5&lt;=Cronograma!$G15,H$5+6&gt;=Cronograma!$F15),IF(Cronograma!$D15="Hito","◆","■"),"")</x:f>
      </x:c>
      <x:c r="I14" s="79" t="str">
        <x:f>IF(AND(I$5&lt;=Cronograma!$G15,I$5+6&gt;=Cronograma!$F15),IF(Cronograma!$D15="Hito","◆","■"),"")</x:f>
      </x:c>
      <x:c r="J14" s="79" t="str">
        <x:f>IF(AND(J$5&lt;=Cronograma!$G15,J$5+6&gt;=Cronograma!$F15),IF(Cronograma!$D15="Hito","◆","■"),"")</x:f>
      </x:c>
      <x:c r="K14" s="79" t="str">
        <x:f>IF(AND(K$5&lt;=Cronograma!$G15,K$5+6&gt;=Cronograma!$F15),IF(Cronograma!$D15="Hito","◆","■"),"")</x:f>
        <x:v>■</x:v>
      </x:c>
      <x:c r="L14" s="79" t="str">
        <x:f>IF(AND(L$5&lt;=Cronograma!$G15,L$5+6&gt;=Cronograma!$F15),IF(Cronograma!$D15="Hito","◆","■"),"")</x:f>
        <x:v>■</x:v>
      </x:c>
      <x:c r="M14" s="79" t="str">
        <x:f>IF(AND(M$5&lt;=Cronograma!$G15,M$5+6&gt;=Cronograma!$F15),IF(Cronograma!$D15="Hito","◆","■"),"")</x:f>
      </x:c>
      <x:c r="N14" s="79" t="str">
        <x:f>IF(AND(N$5&lt;=Cronograma!$G15,N$5+6&gt;=Cronograma!$F15),IF(Cronograma!$D15="Hito","◆","■"),"")</x:f>
      </x:c>
      <x:c r="O14" s="79" t="str">
        <x:f>IF(AND(O$5&lt;=Cronograma!$G15,O$5+6&gt;=Cronograma!$F15),IF(Cronograma!$D15="Hito","◆","■"),"")</x:f>
      </x:c>
      <x:c r="P14" s="79" t="str">
        <x:f>IF(AND(P$5&lt;=Cronograma!$G15,P$5+6&gt;=Cronograma!$F15),IF(Cronograma!$D15="Hito","◆","■"),"")</x:f>
      </x:c>
      <x:c r="Q14" s="79" t="str">
        <x:f>IF(AND(Q$5&lt;=Cronograma!$G15,Q$5+6&gt;=Cronograma!$F15),IF(Cronograma!$D15="Hito","◆","■"),"")</x:f>
      </x:c>
      <x:c r="R14" s="79" t="str">
        <x:f>IF(AND(R$5&lt;=Cronograma!$G15,R$5+6&gt;=Cronograma!$F15),IF(Cronograma!$D15="Hito","◆","■"),"")</x:f>
      </x:c>
      <x:c r="S14" s="79" t="str">
        <x:f>IF(AND(S$5&lt;=Cronograma!$G15,S$5+6&gt;=Cronograma!$F15),IF(Cronograma!$D15="Hito","◆","■"),"")</x:f>
      </x:c>
      <x:c r="T14" s="79" t="str">
        <x:f>IF(AND(T$5&lt;=Cronograma!$G15,T$5+6&gt;=Cronograma!$F15),IF(Cronograma!$D15="Hito","◆","■"),"")</x:f>
      </x:c>
      <x:c r="U14" s="79" t="str">
        <x:f>IF(AND(U$5&lt;=Cronograma!$G15,U$5+6&gt;=Cronograma!$F15),IF(Cronograma!$D15="Hito","◆","■"),"")</x:f>
      </x:c>
      <x:c r="V14" s="79" t="str">
        <x:f>IF(AND(V$5&lt;=Cronograma!$G15,V$5+6&gt;=Cronograma!$F15),IF(Cronograma!$D15="Hito","◆","■"),"")</x:f>
      </x:c>
      <x:c r="W14" s="79" t="str">
        <x:f>IF(AND(W$5&lt;=Cronograma!$G15,W$5+6&gt;=Cronograma!$F15),IF(Cronograma!$D15="Hito","◆","■"),"")</x:f>
      </x:c>
      <x:c r="X14" s="79" t="str">
        <x:f>IF(AND(X$5&lt;=Cronograma!$G15,X$5+6&gt;=Cronograma!$F15),IF(Cronograma!$D15="Hito","◆","■"),"")</x:f>
      </x:c>
      <x:c r="Y14" s="79" t="str">
        <x:f>IF(AND(Y$5&lt;=Cronograma!$G15,Y$5+6&gt;=Cronograma!$F15),IF(Cronograma!$D15="Hito","◆","■"),"")</x:f>
      </x:c>
      <x:c r="Z14" s="79" t="str">
        <x:f>IF(AND(Z$5&lt;=Cronograma!$G15,Z$5+6&gt;=Cronograma!$F15),IF(Cronograma!$D15="Hito","◆","■"),"")</x:f>
      </x:c>
      <x:c r="AA14" s="79" t="str">
        <x:f>IF(AND(AA$5&lt;=Cronograma!$G15,AA$5+6&gt;=Cronograma!$F15),IF(Cronograma!$D15="Hito","◆","■"),"")</x:f>
      </x:c>
      <x:c r="AB14" s="79" t="str">
        <x:f>IF(AND(AB$5&lt;=Cronograma!$G15,AB$5+6&gt;=Cronograma!$F15),IF(Cronograma!$D15="Hito","◆","■"),"")</x:f>
      </x:c>
      <x:c r="AC14" s="79" t="str">
        <x:f>IF(AND(AC$5&lt;=Cronograma!$G15,AC$5+6&gt;=Cronograma!$F15),IF(Cronograma!$D15="Hito","◆","■"),"")</x:f>
      </x:c>
      <x:c r="AD14" s="79" t="str">
        <x:f>IF(AND(AD$5&lt;=Cronograma!$G15,AD$5+6&gt;=Cronograma!$F15),IF(Cronograma!$D15="Hito","◆","■"),"")</x:f>
      </x:c>
      <x:c r="AE14" s="79" t="str">
        <x:f>IF(AND(AE$5&lt;=Cronograma!$G15,AE$5+6&gt;=Cronograma!$F15),IF(Cronograma!$D15="Hito","◆","■"),"")</x:f>
      </x:c>
      <x:c r="AF14" s="79" t="str">
        <x:f>IF(AND(AF$5&lt;=Cronograma!$G15,AF$5+6&gt;=Cronograma!$F15),IF(Cronograma!$D15="Hito","◆","■"),"")</x:f>
      </x:c>
      <x:c r="AG14" s="79" t="str">
        <x:f>IF(AND(AG$5&lt;=Cronograma!$G15,AG$5+6&gt;=Cronograma!$F15),IF(Cronograma!$D15="Hito","◆","■"),"")</x:f>
      </x:c>
      <x:c r="AH14" s="79" t="str">
        <x:f>IF(AND(AH$5&lt;=Cronograma!$G15,AH$5+6&gt;=Cronograma!$F15),IF(Cronograma!$D15="Hito","◆","■"),"")</x:f>
      </x:c>
      <x:c r="AI14" s="79" t="str">
        <x:f>IF(AND(AI$5&lt;=Cronograma!$G15,AI$5+6&gt;=Cronograma!$F15),IF(Cronograma!$D15="Hito","◆","■"),"")</x:f>
      </x:c>
      <x:c r="AJ14" s="79" t="str">
        <x:f>IF(AND(AJ$5&lt;=Cronograma!$G15,AJ$5+6&gt;=Cronograma!$F15),IF(Cronograma!$D15="Hito","◆","■"),"")</x:f>
      </x:c>
      <x:c r="AK14" s="79" t="str">
        <x:f>IF(AND(AK$5&lt;=Cronograma!$G15,AK$5+6&gt;=Cronograma!$F15),IF(Cronograma!$D15="Hito","◆","■"),"")</x:f>
      </x:c>
      <x:c r="AL14" s="79" t="str">
        <x:f>IF(AND(AL$5&lt;=Cronograma!$G15,AL$5+6&gt;=Cronograma!$F15),IF(Cronograma!$D15="Hito","◆","■"),"")</x:f>
      </x:c>
      <x:c r="AM14" s="79" t="str">
        <x:f>IF(AND(AM$5&lt;=Cronograma!$G15,AM$5+6&gt;=Cronograma!$F15),IF(Cronograma!$D15="Hito","◆","■"),"")</x:f>
      </x:c>
      <x:c r="AN14" s="79" t="str">
        <x:f>IF(AND(AN$5&lt;=Cronograma!$G15,AN$5+6&gt;=Cronograma!$F15),IF(Cronograma!$D15="Hito","◆","■"),"")</x:f>
      </x:c>
      <x:c r="AO14" s="79" t="str">
        <x:f>IF(AND(AO$5&lt;=Cronograma!$G15,AO$5+6&gt;=Cronograma!$F15),IF(Cronograma!$D15="Hito","◆","■"),"")</x:f>
      </x:c>
      <x:c r="AP14" s="79" t="str">
        <x:f>IF(AND(AP$5&lt;=Cronograma!$G15,AP$5+6&gt;=Cronograma!$F15),IF(Cronograma!$D15="Hito","◆","■"),"")</x:f>
      </x:c>
      <x:c r="AQ14" s="79" t="str">
        <x:f>IF(AND(AQ$5&lt;=Cronograma!$G15,AQ$5+6&gt;=Cronograma!$F15),IF(Cronograma!$D15="Hito","◆","■"),"")</x:f>
      </x:c>
      <x:c r="AR14" s="79" t="str">
        <x:f>IF(AND(AR$5&lt;=Cronograma!$G15,AR$5+6&gt;=Cronograma!$F15),IF(Cronograma!$D15="Hito","◆","■"),"")</x:f>
      </x:c>
    </x:row>
    <x:row r="15" ht="25" customHeight="1">
      <x:c r="A15" s="76" t="str">
        <x:f>Cronograma!A16</x:f>
        <x:v>PA-04</x:v>
      </x:c>
      <x:c r="B15" s="76" t="str">
        <x:f>Cronograma!B16</x:f>
        <x:v>Preparación de ambiente de trabajo</x:v>
      </x:c>
      <x:c r="C15" s="76" t="str">
        <x:f>Cronograma!C16</x:f>
        <x:v>Construcción de repositorio del proyecto en Github</x:v>
      </x:c>
      <x:c r="D15" s="77" t="n">
        <x:f>Cronograma!F16</x:f>
        <x:v>46300</x:v>
      </x:c>
      <x:c r="E15" s="77" t="n">
        <x:f>Cronograma!G16</x:f>
        <x:v>46311</x:v>
      </x:c>
      <x:c r="F15" s="78" t="n">
        <x:f>Cronograma!H16</x:f>
        <x:v>12</x:v>
      </x:c>
      <x:c r="G15" s="79" t="str">
        <x:f>IF(AND(G$5&lt;=Cronograma!$G16,G$5+6&gt;=Cronograma!$F16),IF(Cronograma!$D16="Hito","◆","■"),"")</x:f>
      </x:c>
      <x:c r="H15" s="79" t="str">
        <x:f>IF(AND(H$5&lt;=Cronograma!$G16,H$5+6&gt;=Cronograma!$F16),IF(Cronograma!$D16="Hito","◆","■"),"")</x:f>
      </x:c>
      <x:c r="I15" s="79" t="str">
        <x:f>IF(AND(I$5&lt;=Cronograma!$G16,I$5+6&gt;=Cronograma!$F16),IF(Cronograma!$D16="Hito","◆","■"),"")</x:f>
      </x:c>
      <x:c r="J15" s="79" t="str">
        <x:f>IF(AND(J$5&lt;=Cronograma!$G16,J$5+6&gt;=Cronograma!$F16),IF(Cronograma!$D16="Hito","◆","■"),"")</x:f>
      </x:c>
      <x:c r="K15" s="79" t="str">
        <x:f>IF(AND(K$5&lt;=Cronograma!$G16,K$5+6&gt;=Cronograma!$F16),IF(Cronograma!$D16="Hito","◆","■"),"")</x:f>
        <x:v>■</x:v>
      </x:c>
      <x:c r="L15" s="79" t="str">
        <x:f>IF(AND(L$5&lt;=Cronograma!$G16,L$5+6&gt;=Cronograma!$F16),IF(Cronograma!$D16="Hito","◆","■"),"")</x:f>
        <x:v>■</x:v>
      </x:c>
      <x:c r="M15" s="79" t="str">
        <x:f>IF(AND(M$5&lt;=Cronograma!$G16,M$5+6&gt;=Cronograma!$F16),IF(Cronograma!$D16="Hito","◆","■"),"")</x:f>
      </x:c>
      <x:c r="N15" s="79" t="str">
        <x:f>IF(AND(N$5&lt;=Cronograma!$G16,N$5+6&gt;=Cronograma!$F16),IF(Cronograma!$D16="Hito","◆","■"),"")</x:f>
      </x:c>
      <x:c r="O15" s="79" t="str">
        <x:f>IF(AND(O$5&lt;=Cronograma!$G16,O$5+6&gt;=Cronograma!$F16),IF(Cronograma!$D16="Hito","◆","■"),"")</x:f>
      </x:c>
      <x:c r="P15" s="79" t="str">
        <x:f>IF(AND(P$5&lt;=Cronograma!$G16,P$5+6&gt;=Cronograma!$F16),IF(Cronograma!$D16="Hito","◆","■"),"")</x:f>
      </x:c>
      <x:c r="Q15" s="79" t="str">
        <x:f>IF(AND(Q$5&lt;=Cronograma!$G16,Q$5+6&gt;=Cronograma!$F16),IF(Cronograma!$D16="Hito","◆","■"),"")</x:f>
      </x:c>
      <x:c r="R15" s="79" t="str">
        <x:f>IF(AND(R$5&lt;=Cronograma!$G16,R$5+6&gt;=Cronograma!$F16),IF(Cronograma!$D16="Hito","◆","■"),"")</x:f>
      </x:c>
      <x:c r="S15" s="79" t="str">
        <x:f>IF(AND(S$5&lt;=Cronograma!$G16,S$5+6&gt;=Cronograma!$F16),IF(Cronograma!$D16="Hito","◆","■"),"")</x:f>
      </x:c>
      <x:c r="T15" s="79" t="str">
        <x:f>IF(AND(T$5&lt;=Cronograma!$G16,T$5+6&gt;=Cronograma!$F16),IF(Cronograma!$D16="Hito","◆","■"),"")</x:f>
      </x:c>
      <x:c r="U15" s="79" t="str">
        <x:f>IF(AND(U$5&lt;=Cronograma!$G16,U$5+6&gt;=Cronograma!$F16),IF(Cronograma!$D16="Hito","◆","■"),"")</x:f>
      </x:c>
      <x:c r="V15" s="79" t="str">
        <x:f>IF(AND(V$5&lt;=Cronograma!$G16,V$5+6&gt;=Cronograma!$F16),IF(Cronograma!$D16="Hito","◆","■"),"")</x:f>
      </x:c>
      <x:c r="W15" s="79" t="str">
        <x:f>IF(AND(W$5&lt;=Cronograma!$G16,W$5+6&gt;=Cronograma!$F16),IF(Cronograma!$D16="Hito","◆","■"),"")</x:f>
      </x:c>
      <x:c r="X15" s="79" t="str">
        <x:f>IF(AND(X$5&lt;=Cronograma!$G16,X$5+6&gt;=Cronograma!$F16),IF(Cronograma!$D16="Hito","◆","■"),"")</x:f>
      </x:c>
      <x:c r="Y15" s="79" t="str">
        <x:f>IF(AND(Y$5&lt;=Cronograma!$G16,Y$5+6&gt;=Cronograma!$F16),IF(Cronograma!$D16="Hito","◆","■"),"")</x:f>
      </x:c>
      <x:c r="Z15" s="79" t="str">
        <x:f>IF(AND(Z$5&lt;=Cronograma!$G16,Z$5+6&gt;=Cronograma!$F16),IF(Cronograma!$D16="Hito","◆","■"),"")</x:f>
      </x:c>
      <x:c r="AA15" s="79" t="str">
        <x:f>IF(AND(AA$5&lt;=Cronograma!$G16,AA$5+6&gt;=Cronograma!$F16),IF(Cronograma!$D16="Hito","◆","■"),"")</x:f>
      </x:c>
      <x:c r="AB15" s="79" t="str">
        <x:f>IF(AND(AB$5&lt;=Cronograma!$G16,AB$5+6&gt;=Cronograma!$F16),IF(Cronograma!$D16="Hito","◆","■"),"")</x:f>
      </x:c>
      <x:c r="AC15" s="79" t="str">
        <x:f>IF(AND(AC$5&lt;=Cronograma!$G16,AC$5+6&gt;=Cronograma!$F16),IF(Cronograma!$D16="Hito","◆","■"),"")</x:f>
      </x:c>
      <x:c r="AD15" s="79" t="str">
        <x:f>IF(AND(AD$5&lt;=Cronograma!$G16,AD$5+6&gt;=Cronograma!$F16),IF(Cronograma!$D16="Hito","◆","■"),"")</x:f>
      </x:c>
      <x:c r="AE15" s="79" t="str">
        <x:f>IF(AND(AE$5&lt;=Cronograma!$G16,AE$5+6&gt;=Cronograma!$F16),IF(Cronograma!$D16="Hito","◆","■"),"")</x:f>
      </x:c>
      <x:c r="AF15" s="79" t="str">
        <x:f>IF(AND(AF$5&lt;=Cronograma!$G16,AF$5+6&gt;=Cronograma!$F16),IF(Cronograma!$D16="Hito","◆","■"),"")</x:f>
      </x:c>
      <x:c r="AG15" s="79" t="str">
        <x:f>IF(AND(AG$5&lt;=Cronograma!$G16,AG$5+6&gt;=Cronograma!$F16),IF(Cronograma!$D16="Hito","◆","■"),"")</x:f>
      </x:c>
      <x:c r="AH15" s="79" t="str">
        <x:f>IF(AND(AH$5&lt;=Cronograma!$G16,AH$5+6&gt;=Cronograma!$F16),IF(Cronograma!$D16="Hito","◆","■"),"")</x:f>
      </x:c>
      <x:c r="AI15" s="79" t="str">
        <x:f>IF(AND(AI$5&lt;=Cronograma!$G16,AI$5+6&gt;=Cronograma!$F16),IF(Cronograma!$D16="Hito","◆","■"),"")</x:f>
      </x:c>
      <x:c r="AJ15" s="79" t="str">
        <x:f>IF(AND(AJ$5&lt;=Cronograma!$G16,AJ$5+6&gt;=Cronograma!$F16),IF(Cronograma!$D16="Hito","◆","■"),"")</x:f>
      </x:c>
      <x:c r="AK15" s="79" t="str">
        <x:f>IF(AND(AK$5&lt;=Cronograma!$G16,AK$5+6&gt;=Cronograma!$F16),IF(Cronograma!$D16="Hito","◆","■"),"")</x:f>
      </x:c>
      <x:c r="AL15" s="79" t="str">
        <x:f>IF(AND(AL$5&lt;=Cronograma!$G16,AL$5+6&gt;=Cronograma!$F16),IF(Cronograma!$D16="Hito","◆","■"),"")</x:f>
      </x:c>
      <x:c r="AM15" s="79" t="str">
        <x:f>IF(AND(AM$5&lt;=Cronograma!$G16,AM$5+6&gt;=Cronograma!$F16),IF(Cronograma!$D16="Hito","◆","■"),"")</x:f>
      </x:c>
      <x:c r="AN15" s="79" t="str">
        <x:f>IF(AND(AN$5&lt;=Cronograma!$G16,AN$5+6&gt;=Cronograma!$F16),IF(Cronograma!$D16="Hito","◆","■"),"")</x:f>
      </x:c>
      <x:c r="AO15" s="79" t="str">
        <x:f>IF(AND(AO$5&lt;=Cronograma!$G16,AO$5+6&gt;=Cronograma!$F16),IF(Cronograma!$D16="Hito","◆","■"),"")</x:f>
      </x:c>
      <x:c r="AP15" s="79" t="str">
        <x:f>IF(AND(AP$5&lt;=Cronograma!$G16,AP$5+6&gt;=Cronograma!$F16),IF(Cronograma!$D16="Hito","◆","■"),"")</x:f>
      </x:c>
      <x:c r="AQ15" s="79" t="str">
        <x:f>IF(AND(AQ$5&lt;=Cronograma!$G16,AQ$5+6&gt;=Cronograma!$F16),IF(Cronograma!$D16="Hito","◆","■"),"")</x:f>
      </x:c>
      <x:c r="AR15" s="79" t="str">
        <x:f>IF(AND(AR$5&lt;=Cronograma!$G16,AR$5+6&gt;=Cronograma!$F16),IF(Cronograma!$D16="Hito","◆","■"),"")</x:f>
      </x:c>
    </x:row>
    <x:row r="16" ht="25" customHeight="1">
      <x:c r="A16" s="80" t="str">
        <x:f>Cronograma!A17</x:f>
        <x:v>PA-H2</x:v>
      </x:c>
      <x:c r="B16" s="80" t="str">
        <x:f>Cronograma!B17</x:f>
        <x:v>Preparación de ambiente de trabajo</x:v>
      </x:c>
      <x:c r="C16" s="80" t="str">
        <x:f>Cronograma!C17</x:f>
        <x:v>Hito: ambiente de trabajo operativo</x:v>
      </x:c>
      <x:c r="D16" s="81" t="n">
        <x:f>Cronograma!F17</x:f>
        <x:v>46311</x:v>
      </x:c>
      <x:c r="E16" s="81" t="n">
        <x:f>Cronograma!G17</x:f>
        <x:v>46311</x:v>
      </x:c>
      <x:c r="F16" s="82" t="n">
        <x:f>Cronograma!H17</x:f>
        <x:v>1</x:v>
      </x:c>
      <x:c r="G16" s="83" t="str">
        <x:f>IF(AND(G$5&lt;=Cronograma!$G17,G$5+6&gt;=Cronograma!$F17),IF(Cronograma!$D17="Hito","◆","■"),"")</x:f>
      </x:c>
      <x:c r="H16" s="83" t="str">
        <x:f>IF(AND(H$5&lt;=Cronograma!$G17,H$5+6&gt;=Cronograma!$F17),IF(Cronograma!$D17="Hito","◆","■"),"")</x:f>
      </x:c>
      <x:c r="I16" s="83" t="str">
        <x:f>IF(AND(I$5&lt;=Cronograma!$G17,I$5+6&gt;=Cronograma!$F17),IF(Cronograma!$D17="Hito","◆","■"),"")</x:f>
      </x:c>
      <x:c r="J16" s="83" t="str">
        <x:f>IF(AND(J$5&lt;=Cronograma!$G17,J$5+6&gt;=Cronograma!$F17),IF(Cronograma!$D17="Hito","◆","■"),"")</x:f>
      </x:c>
      <x:c r="K16" s="83" t="str">
        <x:f>IF(AND(K$5&lt;=Cronograma!$G17,K$5+6&gt;=Cronograma!$F17),IF(Cronograma!$D17="Hito","◆","■"),"")</x:f>
      </x:c>
      <x:c r="L16" s="83" t="str">
        <x:f>IF(AND(L$5&lt;=Cronograma!$G17,L$5+6&gt;=Cronograma!$F17),IF(Cronograma!$D17="Hito","◆","■"),"")</x:f>
        <x:v>◆</x:v>
      </x:c>
      <x:c r="M16" s="83" t="str">
        <x:f>IF(AND(M$5&lt;=Cronograma!$G17,M$5+6&gt;=Cronograma!$F17),IF(Cronograma!$D17="Hito","◆","■"),"")</x:f>
      </x:c>
      <x:c r="N16" s="83" t="str">
        <x:f>IF(AND(N$5&lt;=Cronograma!$G17,N$5+6&gt;=Cronograma!$F17),IF(Cronograma!$D17="Hito","◆","■"),"")</x:f>
      </x:c>
      <x:c r="O16" s="83" t="str">
        <x:f>IF(AND(O$5&lt;=Cronograma!$G17,O$5+6&gt;=Cronograma!$F17),IF(Cronograma!$D17="Hito","◆","■"),"")</x:f>
      </x:c>
      <x:c r="P16" s="83" t="str">
        <x:f>IF(AND(P$5&lt;=Cronograma!$G17,P$5+6&gt;=Cronograma!$F17),IF(Cronograma!$D17="Hito","◆","■"),"")</x:f>
      </x:c>
      <x:c r="Q16" s="83" t="str">
        <x:f>IF(AND(Q$5&lt;=Cronograma!$G17,Q$5+6&gt;=Cronograma!$F17),IF(Cronograma!$D17="Hito","◆","■"),"")</x:f>
      </x:c>
      <x:c r="R16" s="83" t="str">
        <x:f>IF(AND(R$5&lt;=Cronograma!$G17,R$5+6&gt;=Cronograma!$F17),IF(Cronograma!$D17="Hito","◆","■"),"")</x:f>
      </x:c>
      <x:c r="S16" s="83" t="str">
        <x:f>IF(AND(S$5&lt;=Cronograma!$G17,S$5+6&gt;=Cronograma!$F17),IF(Cronograma!$D17="Hito","◆","■"),"")</x:f>
      </x:c>
      <x:c r="T16" s="83" t="str">
        <x:f>IF(AND(T$5&lt;=Cronograma!$G17,T$5+6&gt;=Cronograma!$F17),IF(Cronograma!$D17="Hito","◆","■"),"")</x:f>
      </x:c>
      <x:c r="U16" s="83" t="str">
        <x:f>IF(AND(U$5&lt;=Cronograma!$G17,U$5+6&gt;=Cronograma!$F17),IF(Cronograma!$D17="Hito","◆","■"),"")</x:f>
      </x:c>
      <x:c r="V16" s="83" t="str">
        <x:f>IF(AND(V$5&lt;=Cronograma!$G17,V$5+6&gt;=Cronograma!$F17),IF(Cronograma!$D17="Hito","◆","■"),"")</x:f>
      </x:c>
      <x:c r="W16" s="83" t="str">
        <x:f>IF(AND(W$5&lt;=Cronograma!$G17,W$5+6&gt;=Cronograma!$F17),IF(Cronograma!$D17="Hito","◆","■"),"")</x:f>
      </x:c>
      <x:c r="X16" s="83" t="str">
        <x:f>IF(AND(X$5&lt;=Cronograma!$G17,X$5+6&gt;=Cronograma!$F17),IF(Cronograma!$D17="Hito","◆","■"),"")</x:f>
      </x:c>
      <x:c r="Y16" s="83" t="str">
        <x:f>IF(AND(Y$5&lt;=Cronograma!$G17,Y$5+6&gt;=Cronograma!$F17),IF(Cronograma!$D17="Hito","◆","■"),"")</x:f>
      </x:c>
      <x:c r="Z16" s="83" t="str">
        <x:f>IF(AND(Z$5&lt;=Cronograma!$G17,Z$5+6&gt;=Cronograma!$F17),IF(Cronograma!$D17="Hito","◆","■"),"")</x:f>
      </x:c>
      <x:c r="AA16" s="83" t="str">
        <x:f>IF(AND(AA$5&lt;=Cronograma!$G17,AA$5+6&gt;=Cronograma!$F17),IF(Cronograma!$D17="Hito","◆","■"),"")</x:f>
      </x:c>
      <x:c r="AB16" s="83" t="str">
        <x:f>IF(AND(AB$5&lt;=Cronograma!$G17,AB$5+6&gt;=Cronograma!$F17),IF(Cronograma!$D17="Hito","◆","■"),"")</x:f>
      </x:c>
      <x:c r="AC16" s="83" t="str">
        <x:f>IF(AND(AC$5&lt;=Cronograma!$G17,AC$5+6&gt;=Cronograma!$F17),IF(Cronograma!$D17="Hito","◆","■"),"")</x:f>
      </x:c>
      <x:c r="AD16" s="83" t="str">
        <x:f>IF(AND(AD$5&lt;=Cronograma!$G17,AD$5+6&gt;=Cronograma!$F17),IF(Cronograma!$D17="Hito","◆","■"),"")</x:f>
      </x:c>
      <x:c r="AE16" s="83" t="str">
        <x:f>IF(AND(AE$5&lt;=Cronograma!$G17,AE$5+6&gt;=Cronograma!$F17),IF(Cronograma!$D17="Hito","◆","■"),"")</x:f>
      </x:c>
      <x:c r="AF16" s="83" t="str">
        <x:f>IF(AND(AF$5&lt;=Cronograma!$G17,AF$5+6&gt;=Cronograma!$F17),IF(Cronograma!$D17="Hito","◆","■"),"")</x:f>
      </x:c>
      <x:c r="AG16" s="83" t="str">
        <x:f>IF(AND(AG$5&lt;=Cronograma!$G17,AG$5+6&gt;=Cronograma!$F17),IF(Cronograma!$D17="Hito","◆","■"),"")</x:f>
      </x:c>
      <x:c r="AH16" s="83" t="str">
        <x:f>IF(AND(AH$5&lt;=Cronograma!$G17,AH$5+6&gt;=Cronograma!$F17),IF(Cronograma!$D17="Hito","◆","■"),"")</x:f>
      </x:c>
      <x:c r="AI16" s="83" t="str">
        <x:f>IF(AND(AI$5&lt;=Cronograma!$G17,AI$5+6&gt;=Cronograma!$F17),IF(Cronograma!$D17="Hito","◆","■"),"")</x:f>
      </x:c>
      <x:c r="AJ16" s="83" t="str">
        <x:f>IF(AND(AJ$5&lt;=Cronograma!$G17,AJ$5+6&gt;=Cronograma!$F17),IF(Cronograma!$D17="Hito","◆","■"),"")</x:f>
      </x:c>
      <x:c r="AK16" s="83" t="str">
        <x:f>IF(AND(AK$5&lt;=Cronograma!$G17,AK$5+6&gt;=Cronograma!$F17),IF(Cronograma!$D17="Hito","◆","■"),"")</x:f>
      </x:c>
      <x:c r="AL16" s="83" t="str">
        <x:f>IF(AND(AL$5&lt;=Cronograma!$G17,AL$5+6&gt;=Cronograma!$F17),IF(Cronograma!$D17="Hito","◆","■"),"")</x:f>
      </x:c>
      <x:c r="AM16" s="83" t="str">
        <x:f>IF(AND(AM$5&lt;=Cronograma!$G17,AM$5+6&gt;=Cronograma!$F17),IF(Cronograma!$D17="Hito","◆","■"),"")</x:f>
      </x:c>
      <x:c r="AN16" s="83" t="str">
        <x:f>IF(AND(AN$5&lt;=Cronograma!$G17,AN$5+6&gt;=Cronograma!$F17),IF(Cronograma!$D17="Hito","◆","■"),"")</x:f>
      </x:c>
      <x:c r="AO16" s="83" t="str">
        <x:f>IF(AND(AO$5&lt;=Cronograma!$G17,AO$5+6&gt;=Cronograma!$F17),IF(Cronograma!$D17="Hito","◆","■"),"")</x:f>
      </x:c>
      <x:c r="AP16" s="83" t="str">
        <x:f>IF(AND(AP$5&lt;=Cronograma!$G17,AP$5+6&gt;=Cronograma!$F17),IF(Cronograma!$D17="Hito","◆","■"),"")</x:f>
      </x:c>
      <x:c r="AQ16" s="83" t="str">
        <x:f>IF(AND(AQ$5&lt;=Cronograma!$G17,AQ$5+6&gt;=Cronograma!$F17),IF(Cronograma!$D17="Hito","◆","■"),"")</x:f>
      </x:c>
      <x:c r="AR16" s="83" t="str">
        <x:f>IF(AND(AR$5&lt;=Cronograma!$G17,AR$5+6&gt;=Cronograma!$F17),IF(Cronograma!$D17="Hito","◆","■"),"")</x:f>
      </x:c>
    </x:row>
    <x:row r="17" ht="25" customHeight="1">
      <x:c r="A17" s="76" t="str">
        <x:f>Cronograma!A18</x:f>
        <x:v>CO-01</x:v>
      </x:c>
      <x:c r="B17" s="76" t="str">
        <x:f>Cronograma!B18</x:f>
        <x:v>Construcción</x:v>
      </x:c>
      <x:c r="C17" s="76" t="str">
        <x:f>Cronograma!C18</x:f>
        <x:v>Proyecto</x:v>
      </x:c>
      <x:c r="D17" s="77" t="n">
        <x:f>Cronograma!F18</x:f>
        <x:v>46314</x:v>
      </x:c>
      <x:c r="E17" s="77" t="n">
        <x:f>Cronograma!G18</x:f>
        <x:v>46325</x:v>
      </x:c>
      <x:c r="F17" s="78" t="n">
        <x:f>Cronograma!H18</x:f>
        <x:v>12</x:v>
      </x:c>
      <x:c r="G17" s="79" t="str">
        <x:f>IF(AND(G$5&lt;=Cronograma!$G18,G$5+6&gt;=Cronograma!$F18),IF(Cronograma!$D18="Hito","◆","■"),"")</x:f>
      </x:c>
      <x:c r="H17" s="79" t="str">
        <x:f>IF(AND(H$5&lt;=Cronograma!$G18,H$5+6&gt;=Cronograma!$F18),IF(Cronograma!$D18="Hito","◆","■"),"")</x:f>
      </x:c>
      <x:c r="I17" s="79" t="str">
        <x:f>IF(AND(I$5&lt;=Cronograma!$G18,I$5+6&gt;=Cronograma!$F18),IF(Cronograma!$D18="Hito","◆","■"),"")</x:f>
      </x:c>
      <x:c r="J17" s="79" t="str">
        <x:f>IF(AND(J$5&lt;=Cronograma!$G18,J$5+6&gt;=Cronograma!$F18),IF(Cronograma!$D18="Hito","◆","■"),"")</x:f>
      </x:c>
      <x:c r="K17" s="79" t="str">
        <x:f>IF(AND(K$5&lt;=Cronograma!$G18,K$5+6&gt;=Cronograma!$F18),IF(Cronograma!$D18="Hito","◆","■"),"")</x:f>
      </x:c>
      <x:c r="L17" s="79" t="str">
        <x:f>IF(AND(L$5&lt;=Cronograma!$G18,L$5+6&gt;=Cronograma!$F18),IF(Cronograma!$D18="Hito","◆","■"),"")</x:f>
      </x:c>
      <x:c r="M17" s="79" t="str">
        <x:f>IF(AND(M$5&lt;=Cronograma!$G18,M$5+6&gt;=Cronograma!$F18),IF(Cronograma!$D18="Hito","◆","■"),"")</x:f>
        <x:v>■</x:v>
      </x:c>
      <x:c r="N17" s="79" t="str">
        <x:f>IF(AND(N$5&lt;=Cronograma!$G18,N$5+6&gt;=Cronograma!$F18),IF(Cronograma!$D18="Hito","◆","■"),"")</x:f>
        <x:v>■</x:v>
      </x:c>
      <x:c r="O17" s="79" t="str">
        <x:f>IF(AND(O$5&lt;=Cronograma!$G18,O$5+6&gt;=Cronograma!$F18),IF(Cronograma!$D18="Hito","◆","■"),"")</x:f>
      </x:c>
      <x:c r="P17" s="79" t="str">
        <x:f>IF(AND(P$5&lt;=Cronograma!$G18,P$5+6&gt;=Cronograma!$F18),IF(Cronograma!$D18="Hito","◆","■"),"")</x:f>
      </x:c>
      <x:c r="Q17" s="79" t="str">
        <x:f>IF(AND(Q$5&lt;=Cronograma!$G18,Q$5+6&gt;=Cronograma!$F18),IF(Cronograma!$D18="Hito","◆","■"),"")</x:f>
      </x:c>
      <x:c r="R17" s="79" t="str">
        <x:f>IF(AND(R$5&lt;=Cronograma!$G18,R$5+6&gt;=Cronograma!$F18),IF(Cronograma!$D18="Hito","◆","■"),"")</x:f>
      </x:c>
      <x:c r="S17" s="79" t="str">
        <x:f>IF(AND(S$5&lt;=Cronograma!$G18,S$5+6&gt;=Cronograma!$F18),IF(Cronograma!$D18="Hito","◆","■"),"")</x:f>
      </x:c>
      <x:c r="T17" s="79" t="str">
        <x:f>IF(AND(T$5&lt;=Cronograma!$G18,T$5+6&gt;=Cronograma!$F18),IF(Cronograma!$D18="Hito","◆","■"),"")</x:f>
      </x:c>
      <x:c r="U17" s="79" t="str">
        <x:f>IF(AND(U$5&lt;=Cronograma!$G18,U$5+6&gt;=Cronograma!$F18),IF(Cronograma!$D18="Hito","◆","■"),"")</x:f>
      </x:c>
      <x:c r="V17" s="79" t="str">
        <x:f>IF(AND(V$5&lt;=Cronograma!$G18,V$5+6&gt;=Cronograma!$F18),IF(Cronograma!$D18="Hito","◆","■"),"")</x:f>
      </x:c>
      <x:c r="W17" s="79" t="str">
        <x:f>IF(AND(W$5&lt;=Cronograma!$G18,W$5+6&gt;=Cronograma!$F18),IF(Cronograma!$D18="Hito","◆","■"),"")</x:f>
      </x:c>
      <x:c r="X17" s="79" t="str">
        <x:f>IF(AND(X$5&lt;=Cronograma!$G18,X$5+6&gt;=Cronograma!$F18),IF(Cronograma!$D18="Hito","◆","■"),"")</x:f>
      </x:c>
      <x:c r="Y17" s="79" t="str">
        <x:f>IF(AND(Y$5&lt;=Cronograma!$G18,Y$5+6&gt;=Cronograma!$F18),IF(Cronograma!$D18="Hito","◆","■"),"")</x:f>
      </x:c>
      <x:c r="Z17" s="79" t="str">
        <x:f>IF(AND(Z$5&lt;=Cronograma!$G18,Z$5+6&gt;=Cronograma!$F18),IF(Cronograma!$D18="Hito","◆","■"),"")</x:f>
      </x:c>
      <x:c r="AA17" s="79" t="str">
        <x:f>IF(AND(AA$5&lt;=Cronograma!$G18,AA$5+6&gt;=Cronograma!$F18),IF(Cronograma!$D18="Hito","◆","■"),"")</x:f>
      </x:c>
      <x:c r="AB17" s="79" t="str">
        <x:f>IF(AND(AB$5&lt;=Cronograma!$G18,AB$5+6&gt;=Cronograma!$F18),IF(Cronograma!$D18="Hito","◆","■"),"")</x:f>
      </x:c>
      <x:c r="AC17" s="79" t="str">
        <x:f>IF(AND(AC$5&lt;=Cronograma!$G18,AC$5+6&gt;=Cronograma!$F18),IF(Cronograma!$D18="Hito","◆","■"),"")</x:f>
      </x:c>
      <x:c r="AD17" s="79" t="str">
        <x:f>IF(AND(AD$5&lt;=Cronograma!$G18,AD$5+6&gt;=Cronograma!$F18),IF(Cronograma!$D18="Hito","◆","■"),"")</x:f>
      </x:c>
      <x:c r="AE17" s="79" t="str">
        <x:f>IF(AND(AE$5&lt;=Cronograma!$G18,AE$5+6&gt;=Cronograma!$F18),IF(Cronograma!$D18="Hito","◆","■"),"")</x:f>
      </x:c>
      <x:c r="AF17" s="79" t="str">
        <x:f>IF(AND(AF$5&lt;=Cronograma!$G18,AF$5+6&gt;=Cronograma!$F18),IF(Cronograma!$D18="Hito","◆","■"),"")</x:f>
      </x:c>
      <x:c r="AG17" s="79" t="str">
        <x:f>IF(AND(AG$5&lt;=Cronograma!$G18,AG$5+6&gt;=Cronograma!$F18),IF(Cronograma!$D18="Hito","◆","■"),"")</x:f>
      </x:c>
      <x:c r="AH17" s="79" t="str">
        <x:f>IF(AND(AH$5&lt;=Cronograma!$G18,AH$5+6&gt;=Cronograma!$F18),IF(Cronograma!$D18="Hito","◆","■"),"")</x:f>
      </x:c>
      <x:c r="AI17" s="79" t="str">
        <x:f>IF(AND(AI$5&lt;=Cronograma!$G18,AI$5+6&gt;=Cronograma!$F18),IF(Cronograma!$D18="Hito","◆","■"),"")</x:f>
      </x:c>
      <x:c r="AJ17" s="79" t="str">
        <x:f>IF(AND(AJ$5&lt;=Cronograma!$G18,AJ$5+6&gt;=Cronograma!$F18),IF(Cronograma!$D18="Hito","◆","■"),"")</x:f>
      </x:c>
      <x:c r="AK17" s="79" t="str">
        <x:f>IF(AND(AK$5&lt;=Cronograma!$G18,AK$5+6&gt;=Cronograma!$F18),IF(Cronograma!$D18="Hito","◆","■"),"")</x:f>
      </x:c>
      <x:c r="AL17" s="79" t="str">
        <x:f>IF(AND(AL$5&lt;=Cronograma!$G18,AL$5+6&gt;=Cronograma!$F18),IF(Cronograma!$D18="Hito","◆","■"),"")</x:f>
      </x:c>
      <x:c r="AM17" s="79" t="str">
        <x:f>IF(AND(AM$5&lt;=Cronograma!$G18,AM$5+6&gt;=Cronograma!$F18),IF(Cronograma!$D18="Hito","◆","■"),"")</x:f>
      </x:c>
      <x:c r="AN17" s="79" t="str">
        <x:f>IF(AND(AN$5&lt;=Cronograma!$G18,AN$5+6&gt;=Cronograma!$F18),IF(Cronograma!$D18="Hito","◆","■"),"")</x:f>
      </x:c>
      <x:c r="AO17" s="79" t="str">
        <x:f>IF(AND(AO$5&lt;=Cronograma!$G18,AO$5+6&gt;=Cronograma!$F18),IF(Cronograma!$D18="Hito","◆","■"),"")</x:f>
      </x:c>
      <x:c r="AP17" s="79" t="str">
        <x:f>IF(AND(AP$5&lt;=Cronograma!$G18,AP$5+6&gt;=Cronograma!$F18),IF(Cronograma!$D18="Hito","◆","■"),"")</x:f>
      </x:c>
      <x:c r="AQ17" s="79" t="str">
        <x:f>IF(AND(AQ$5&lt;=Cronograma!$G18,AQ$5+6&gt;=Cronograma!$F18),IF(Cronograma!$D18="Hito","◆","■"),"")</x:f>
      </x:c>
      <x:c r="AR17" s="79" t="str">
        <x:f>IF(AND(AR$5&lt;=Cronograma!$G18,AR$5+6&gt;=Cronograma!$F18),IF(Cronograma!$D18="Hito","◆","■"),"")</x:f>
      </x:c>
    </x:row>
    <x:row r="18" ht="25" customHeight="1">
      <x:c r="A18" s="76" t="str">
        <x:f>Cronograma!A19</x:f>
        <x:v>CO-02</x:v>
      </x:c>
      <x:c r="B18" s="76" t="str">
        <x:f>Cronograma!B19</x:f>
        <x:v>Construcción</x:v>
      </x:c>
      <x:c r="C18" s="76" t="str">
        <x:f>Cronograma!C19</x:f>
        <x:v>Activos</x:v>
      </x:c>
      <x:c r="D18" s="77" t="n">
        <x:f>Cronograma!F19</x:f>
        <x:v>46321</x:v>
      </x:c>
      <x:c r="E18" s="77" t="n">
        <x:f>Cronograma!G19</x:f>
        <x:v>46339</x:v>
      </x:c>
      <x:c r="F18" s="78" t="n">
        <x:f>Cronograma!H19</x:f>
        <x:v>19</x:v>
      </x:c>
      <x:c r="G18" s="79" t="str">
        <x:f>IF(AND(G$5&lt;=Cronograma!$G19,G$5+6&gt;=Cronograma!$F19),IF(Cronograma!$D19="Hito","◆","■"),"")</x:f>
      </x:c>
      <x:c r="H18" s="79" t="str">
        <x:f>IF(AND(H$5&lt;=Cronograma!$G19,H$5+6&gt;=Cronograma!$F19),IF(Cronograma!$D19="Hito","◆","■"),"")</x:f>
      </x:c>
      <x:c r="I18" s="79" t="str">
        <x:f>IF(AND(I$5&lt;=Cronograma!$G19,I$5+6&gt;=Cronograma!$F19),IF(Cronograma!$D19="Hito","◆","■"),"")</x:f>
      </x:c>
      <x:c r="J18" s="79" t="str">
        <x:f>IF(AND(J$5&lt;=Cronograma!$G19,J$5+6&gt;=Cronograma!$F19),IF(Cronograma!$D19="Hito","◆","■"),"")</x:f>
      </x:c>
      <x:c r="K18" s="79" t="str">
        <x:f>IF(AND(K$5&lt;=Cronograma!$G19,K$5+6&gt;=Cronograma!$F19),IF(Cronograma!$D19="Hito","◆","■"),"")</x:f>
      </x:c>
      <x:c r="L18" s="79" t="str">
        <x:f>IF(AND(L$5&lt;=Cronograma!$G19,L$5+6&gt;=Cronograma!$F19),IF(Cronograma!$D19="Hito","◆","■"),"")</x:f>
      </x:c>
      <x:c r="M18" s="79" t="str">
        <x:f>IF(AND(M$5&lt;=Cronograma!$G19,M$5+6&gt;=Cronograma!$F19),IF(Cronograma!$D19="Hito","◆","■"),"")</x:f>
      </x:c>
      <x:c r="N18" s="79" t="str">
        <x:f>IF(AND(N$5&lt;=Cronograma!$G19,N$5+6&gt;=Cronograma!$F19),IF(Cronograma!$D19="Hito","◆","■"),"")</x:f>
        <x:v>■</x:v>
      </x:c>
      <x:c r="O18" s="79" t="str">
        <x:f>IF(AND(O$5&lt;=Cronograma!$G19,O$5+6&gt;=Cronograma!$F19),IF(Cronograma!$D19="Hito","◆","■"),"")</x:f>
        <x:v>■</x:v>
      </x:c>
      <x:c r="P18" s="79" t="str">
        <x:f>IF(AND(P$5&lt;=Cronograma!$G19,P$5+6&gt;=Cronograma!$F19),IF(Cronograma!$D19="Hito","◆","■"),"")</x:f>
        <x:v>■</x:v>
      </x:c>
      <x:c r="Q18" s="79" t="str">
        <x:f>IF(AND(Q$5&lt;=Cronograma!$G19,Q$5+6&gt;=Cronograma!$F19),IF(Cronograma!$D19="Hito","◆","■"),"")</x:f>
      </x:c>
      <x:c r="R18" s="79" t="str">
        <x:f>IF(AND(R$5&lt;=Cronograma!$G19,R$5+6&gt;=Cronograma!$F19),IF(Cronograma!$D19="Hito","◆","■"),"")</x:f>
      </x:c>
      <x:c r="S18" s="79" t="str">
        <x:f>IF(AND(S$5&lt;=Cronograma!$G19,S$5+6&gt;=Cronograma!$F19),IF(Cronograma!$D19="Hito","◆","■"),"")</x:f>
      </x:c>
      <x:c r="T18" s="79" t="str">
        <x:f>IF(AND(T$5&lt;=Cronograma!$G19,T$5+6&gt;=Cronograma!$F19),IF(Cronograma!$D19="Hito","◆","■"),"")</x:f>
      </x:c>
      <x:c r="U18" s="79" t="str">
        <x:f>IF(AND(U$5&lt;=Cronograma!$G19,U$5+6&gt;=Cronograma!$F19),IF(Cronograma!$D19="Hito","◆","■"),"")</x:f>
      </x:c>
      <x:c r="V18" s="79" t="str">
        <x:f>IF(AND(V$5&lt;=Cronograma!$G19,V$5+6&gt;=Cronograma!$F19),IF(Cronograma!$D19="Hito","◆","■"),"")</x:f>
      </x:c>
      <x:c r="W18" s="79" t="str">
        <x:f>IF(AND(W$5&lt;=Cronograma!$G19,W$5+6&gt;=Cronograma!$F19),IF(Cronograma!$D19="Hito","◆","■"),"")</x:f>
      </x:c>
      <x:c r="X18" s="79" t="str">
        <x:f>IF(AND(X$5&lt;=Cronograma!$G19,X$5+6&gt;=Cronograma!$F19),IF(Cronograma!$D19="Hito","◆","■"),"")</x:f>
      </x:c>
      <x:c r="Y18" s="79" t="str">
        <x:f>IF(AND(Y$5&lt;=Cronograma!$G19,Y$5+6&gt;=Cronograma!$F19),IF(Cronograma!$D19="Hito","◆","■"),"")</x:f>
      </x:c>
      <x:c r="Z18" s="79" t="str">
        <x:f>IF(AND(Z$5&lt;=Cronograma!$G19,Z$5+6&gt;=Cronograma!$F19),IF(Cronograma!$D19="Hito","◆","■"),"")</x:f>
      </x:c>
      <x:c r="AA18" s="79" t="str">
        <x:f>IF(AND(AA$5&lt;=Cronograma!$G19,AA$5+6&gt;=Cronograma!$F19),IF(Cronograma!$D19="Hito","◆","■"),"")</x:f>
      </x:c>
      <x:c r="AB18" s="79" t="str">
        <x:f>IF(AND(AB$5&lt;=Cronograma!$G19,AB$5+6&gt;=Cronograma!$F19),IF(Cronograma!$D19="Hito","◆","■"),"")</x:f>
      </x:c>
      <x:c r="AC18" s="79" t="str">
        <x:f>IF(AND(AC$5&lt;=Cronograma!$G19,AC$5+6&gt;=Cronograma!$F19),IF(Cronograma!$D19="Hito","◆","■"),"")</x:f>
      </x:c>
      <x:c r="AD18" s="79" t="str">
        <x:f>IF(AND(AD$5&lt;=Cronograma!$G19,AD$5+6&gt;=Cronograma!$F19),IF(Cronograma!$D19="Hito","◆","■"),"")</x:f>
      </x:c>
      <x:c r="AE18" s="79" t="str">
        <x:f>IF(AND(AE$5&lt;=Cronograma!$G19,AE$5+6&gt;=Cronograma!$F19),IF(Cronograma!$D19="Hito","◆","■"),"")</x:f>
      </x:c>
      <x:c r="AF18" s="79" t="str">
        <x:f>IF(AND(AF$5&lt;=Cronograma!$G19,AF$5+6&gt;=Cronograma!$F19),IF(Cronograma!$D19="Hito","◆","■"),"")</x:f>
      </x:c>
      <x:c r="AG18" s="79" t="str">
        <x:f>IF(AND(AG$5&lt;=Cronograma!$G19,AG$5+6&gt;=Cronograma!$F19),IF(Cronograma!$D19="Hito","◆","■"),"")</x:f>
      </x:c>
      <x:c r="AH18" s="79" t="str">
        <x:f>IF(AND(AH$5&lt;=Cronograma!$G19,AH$5+6&gt;=Cronograma!$F19),IF(Cronograma!$D19="Hito","◆","■"),"")</x:f>
      </x:c>
      <x:c r="AI18" s="79" t="str">
        <x:f>IF(AND(AI$5&lt;=Cronograma!$G19,AI$5+6&gt;=Cronograma!$F19),IF(Cronograma!$D19="Hito","◆","■"),"")</x:f>
      </x:c>
      <x:c r="AJ18" s="79" t="str">
        <x:f>IF(AND(AJ$5&lt;=Cronograma!$G19,AJ$5+6&gt;=Cronograma!$F19),IF(Cronograma!$D19="Hito","◆","■"),"")</x:f>
      </x:c>
      <x:c r="AK18" s="79" t="str">
        <x:f>IF(AND(AK$5&lt;=Cronograma!$G19,AK$5+6&gt;=Cronograma!$F19),IF(Cronograma!$D19="Hito","◆","■"),"")</x:f>
      </x:c>
      <x:c r="AL18" s="79" t="str">
        <x:f>IF(AND(AL$5&lt;=Cronograma!$G19,AL$5+6&gt;=Cronograma!$F19),IF(Cronograma!$D19="Hito","◆","■"),"")</x:f>
      </x:c>
      <x:c r="AM18" s="79" t="str">
        <x:f>IF(AND(AM$5&lt;=Cronograma!$G19,AM$5+6&gt;=Cronograma!$F19),IF(Cronograma!$D19="Hito","◆","■"),"")</x:f>
      </x:c>
      <x:c r="AN18" s="79" t="str">
        <x:f>IF(AND(AN$5&lt;=Cronograma!$G19,AN$5+6&gt;=Cronograma!$F19),IF(Cronograma!$D19="Hito","◆","■"),"")</x:f>
      </x:c>
      <x:c r="AO18" s="79" t="str">
        <x:f>IF(AND(AO$5&lt;=Cronograma!$G19,AO$5+6&gt;=Cronograma!$F19),IF(Cronograma!$D19="Hito","◆","■"),"")</x:f>
      </x:c>
      <x:c r="AP18" s="79" t="str">
        <x:f>IF(AND(AP$5&lt;=Cronograma!$G19,AP$5+6&gt;=Cronograma!$F19),IF(Cronograma!$D19="Hito","◆","■"),"")</x:f>
      </x:c>
      <x:c r="AQ18" s="79" t="str">
        <x:f>IF(AND(AQ$5&lt;=Cronograma!$G19,AQ$5+6&gt;=Cronograma!$F19),IF(Cronograma!$D19="Hito","◆","■"),"")</x:f>
      </x:c>
      <x:c r="AR18" s="79" t="str">
        <x:f>IF(AND(AR$5&lt;=Cronograma!$G19,AR$5+6&gt;=Cronograma!$F19),IF(Cronograma!$D19="Hito","◆","■"),"")</x:f>
      </x:c>
    </x:row>
    <x:row r="19" ht="25" customHeight="1">
      <x:c r="A19" s="76" t="str">
        <x:f>Cronograma!A20</x:f>
        <x:v>CO-03</x:v>
      </x:c>
      <x:c r="B19" s="76" t="str">
        <x:f>Cronograma!B20</x:f>
        <x:v>Construcción</x:v>
      </x:c>
      <x:c r="C19" s="76" t="str">
        <x:f>Cronograma!C20</x:f>
        <x:v>Etapas y Especialidades</x:v>
      </x:c>
      <x:c r="D19" s="77" t="n">
        <x:f>Cronograma!F20</x:f>
        <x:v>46335</x:v>
      </x:c>
      <x:c r="E19" s="77" t="n">
        <x:f>Cronograma!G20</x:f>
        <x:v>46353</x:v>
      </x:c>
      <x:c r="F19" s="78" t="n">
        <x:f>Cronograma!H20</x:f>
        <x:v>19</x:v>
      </x:c>
      <x:c r="G19" s="79" t="str">
        <x:f>IF(AND(G$5&lt;=Cronograma!$G20,G$5+6&gt;=Cronograma!$F20),IF(Cronograma!$D20="Hito","◆","■"),"")</x:f>
      </x:c>
      <x:c r="H19" s="79" t="str">
        <x:f>IF(AND(H$5&lt;=Cronograma!$G20,H$5+6&gt;=Cronograma!$F20),IF(Cronograma!$D20="Hito","◆","■"),"")</x:f>
      </x:c>
      <x:c r="I19" s="79" t="str">
        <x:f>IF(AND(I$5&lt;=Cronograma!$G20,I$5+6&gt;=Cronograma!$F20),IF(Cronograma!$D20="Hito","◆","■"),"")</x:f>
      </x:c>
      <x:c r="J19" s="79" t="str">
        <x:f>IF(AND(J$5&lt;=Cronograma!$G20,J$5+6&gt;=Cronograma!$F20),IF(Cronograma!$D20="Hito","◆","■"),"")</x:f>
      </x:c>
      <x:c r="K19" s="79" t="str">
        <x:f>IF(AND(K$5&lt;=Cronograma!$G20,K$5+6&gt;=Cronograma!$F20),IF(Cronograma!$D20="Hito","◆","■"),"")</x:f>
      </x:c>
      <x:c r="L19" s="79" t="str">
        <x:f>IF(AND(L$5&lt;=Cronograma!$G20,L$5+6&gt;=Cronograma!$F20),IF(Cronograma!$D20="Hito","◆","■"),"")</x:f>
      </x:c>
      <x:c r="M19" s="79" t="str">
        <x:f>IF(AND(M$5&lt;=Cronograma!$G20,M$5+6&gt;=Cronograma!$F20),IF(Cronograma!$D20="Hito","◆","■"),"")</x:f>
      </x:c>
      <x:c r="N19" s="79" t="str">
        <x:f>IF(AND(N$5&lt;=Cronograma!$G20,N$5+6&gt;=Cronograma!$F20),IF(Cronograma!$D20="Hito","◆","■"),"")</x:f>
      </x:c>
      <x:c r="O19" s="79" t="str">
        <x:f>IF(AND(O$5&lt;=Cronograma!$G20,O$5+6&gt;=Cronograma!$F20),IF(Cronograma!$D20="Hito","◆","■"),"")</x:f>
      </x:c>
      <x:c r="P19" s="79" t="str">
        <x:f>IF(AND(P$5&lt;=Cronograma!$G20,P$5+6&gt;=Cronograma!$F20),IF(Cronograma!$D20="Hito","◆","■"),"")</x:f>
        <x:v>■</x:v>
      </x:c>
      <x:c r="Q19" s="79" t="str">
        <x:f>IF(AND(Q$5&lt;=Cronograma!$G20,Q$5+6&gt;=Cronograma!$F20),IF(Cronograma!$D20="Hito","◆","■"),"")</x:f>
        <x:v>■</x:v>
      </x:c>
      <x:c r="R19" s="79" t="str">
        <x:f>IF(AND(R$5&lt;=Cronograma!$G20,R$5+6&gt;=Cronograma!$F20),IF(Cronograma!$D20="Hito","◆","■"),"")</x:f>
        <x:v>■</x:v>
      </x:c>
      <x:c r="S19" s="79" t="str">
        <x:f>IF(AND(S$5&lt;=Cronograma!$G20,S$5+6&gt;=Cronograma!$F20),IF(Cronograma!$D20="Hito","◆","■"),"")</x:f>
      </x:c>
      <x:c r="T19" s="79" t="str">
        <x:f>IF(AND(T$5&lt;=Cronograma!$G20,T$5+6&gt;=Cronograma!$F20),IF(Cronograma!$D20="Hito","◆","■"),"")</x:f>
      </x:c>
      <x:c r="U19" s="79" t="str">
        <x:f>IF(AND(U$5&lt;=Cronograma!$G20,U$5+6&gt;=Cronograma!$F20),IF(Cronograma!$D20="Hito","◆","■"),"")</x:f>
      </x:c>
      <x:c r="V19" s="79" t="str">
        <x:f>IF(AND(V$5&lt;=Cronograma!$G20,V$5+6&gt;=Cronograma!$F20),IF(Cronograma!$D20="Hito","◆","■"),"")</x:f>
      </x:c>
      <x:c r="W19" s="79" t="str">
        <x:f>IF(AND(W$5&lt;=Cronograma!$G20,W$5+6&gt;=Cronograma!$F20),IF(Cronograma!$D20="Hito","◆","■"),"")</x:f>
      </x:c>
      <x:c r="X19" s="79" t="str">
        <x:f>IF(AND(X$5&lt;=Cronograma!$G20,X$5+6&gt;=Cronograma!$F20),IF(Cronograma!$D20="Hito","◆","■"),"")</x:f>
      </x:c>
      <x:c r="Y19" s="79" t="str">
        <x:f>IF(AND(Y$5&lt;=Cronograma!$G20,Y$5+6&gt;=Cronograma!$F20),IF(Cronograma!$D20="Hito","◆","■"),"")</x:f>
      </x:c>
      <x:c r="Z19" s="79" t="str">
        <x:f>IF(AND(Z$5&lt;=Cronograma!$G20,Z$5+6&gt;=Cronograma!$F20),IF(Cronograma!$D20="Hito","◆","■"),"")</x:f>
      </x:c>
      <x:c r="AA19" s="79" t="str">
        <x:f>IF(AND(AA$5&lt;=Cronograma!$G20,AA$5+6&gt;=Cronograma!$F20),IF(Cronograma!$D20="Hito","◆","■"),"")</x:f>
      </x:c>
      <x:c r="AB19" s="79" t="str">
        <x:f>IF(AND(AB$5&lt;=Cronograma!$G20,AB$5+6&gt;=Cronograma!$F20),IF(Cronograma!$D20="Hito","◆","■"),"")</x:f>
      </x:c>
      <x:c r="AC19" s="79" t="str">
        <x:f>IF(AND(AC$5&lt;=Cronograma!$G20,AC$5+6&gt;=Cronograma!$F20),IF(Cronograma!$D20="Hito","◆","■"),"")</x:f>
      </x:c>
      <x:c r="AD19" s="79" t="str">
        <x:f>IF(AND(AD$5&lt;=Cronograma!$G20,AD$5+6&gt;=Cronograma!$F20),IF(Cronograma!$D20="Hito","◆","■"),"")</x:f>
      </x:c>
      <x:c r="AE19" s="79" t="str">
        <x:f>IF(AND(AE$5&lt;=Cronograma!$G20,AE$5+6&gt;=Cronograma!$F20),IF(Cronograma!$D20="Hito","◆","■"),"")</x:f>
      </x:c>
      <x:c r="AF19" s="79" t="str">
        <x:f>IF(AND(AF$5&lt;=Cronograma!$G20,AF$5+6&gt;=Cronograma!$F20),IF(Cronograma!$D20="Hito","◆","■"),"")</x:f>
      </x:c>
      <x:c r="AG19" s="79" t="str">
        <x:f>IF(AND(AG$5&lt;=Cronograma!$G20,AG$5+6&gt;=Cronograma!$F20),IF(Cronograma!$D20="Hito","◆","■"),"")</x:f>
      </x:c>
      <x:c r="AH19" s="79" t="str">
        <x:f>IF(AND(AH$5&lt;=Cronograma!$G20,AH$5+6&gt;=Cronograma!$F20),IF(Cronograma!$D20="Hito","◆","■"),"")</x:f>
      </x:c>
      <x:c r="AI19" s="79" t="str">
        <x:f>IF(AND(AI$5&lt;=Cronograma!$G20,AI$5+6&gt;=Cronograma!$F20),IF(Cronograma!$D20="Hito","◆","■"),"")</x:f>
      </x:c>
      <x:c r="AJ19" s="79" t="str">
        <x:f>IF(AND(AJ$5&lt;=Cronograma!$G20,AJ$5+6&gt;=Cronograma!$F20),IF(Cronograma!$D20="Hito","◆","■"),"")</x:f>
      </x:c>
      <x:c r="AK19" s="79" t="str">
        <x:f>IF(AND(AK$5&lt;=Cronograma!$G20,AK$5+6&gt;=Cronograma!$F20),IF(Cronograma!$D20="Hito","◆","■"),"")</x:f>
      </x:c>
      <x:c r="AL19" s="79" t="str">
        <x:f>IF(AND(AL$5&lt;=Cronograma!$G20,AL$5+6&gt;=Cronograma!$F20),IF(Cronograma!$D20="Hito","◆","■"),"")</x:f>
      </x:c>
      <x:c r="AM19" s="79" t="str">
        <x:f>IF(AND(AM$5&lt;=Cronograma!$G20,AM$5+6&gt;=Cronograma!$F20),IF(Cronograma!$D20="Hito","◆","■"),"")</x:f>
      </x:c>
      <x:c r="AN19" s="79" t="str">
        <x:f>IF(AND(AN$5&lt;=Cronograma!$G20,AN$5+6&gt;=Cronograma!$F20),IF(Cronograma!$D20="Hito","◆","■"),"")</x:f>
      </x:c>
      <x:c r="AO19" s="79" t="str">
        <x:f>IF(AND(AO$5&lt;=Cronograma!$G20,AO$5+6&gt;=Cronograma!$F20),IF(Cronograma!$D20="Hito","◆","■"),"")</x:f>
      </x:c>
      <x:c r="AP19" s="79" t="str">
        <x:f>IF(AND(AP$5&lt;=Cronograma!$G20,AP$5+6&gt;=Cronograma!$F20),IF(Cronograma!$D20="Hito","◆","■"),"")</x:f>
      </x:c>
      <x:c r="AQ19" s="79" t="str">
        <x:f>IF(AND(AQ$5&lt;=Cronograma!$G20,AQ$5+6&gt;=Cronograma!$F20),IF(Cronograma!$D20="Hito","◆","■"),"")</x:f>
      </x:c>
      <x:c r="AR19" s="79" t="str">
        <x:f>IF(AND(AR$5&lt;=Cronograma!$G20,AR$5+6&gt;=Cronograma!$F20),IF(Cronograma!$D20="Hito","◆","■"),"")</x:f>
      </x:c>
    </x:row>
    <x:row r="20" ht="25" customHeight="1">
      <x:c r="A20" s="76" t="str">
        <x:f>Cronograma!A21</x:f>
        <x:v>CO-04</x:v>
      </x:c>
      <x:c r="B20" s="76" t="str">
        <x:f>Cronograma!B21</x:f>
        <x:v>Construcción</x:v>
      </x:c>
      <x:c r="C20" s="76" t="str">
        <x:f>Cronograma!C21</x:f>
        <x:v>Puntos de Control y aplicabilidad</x:v>
      </x:c>
      <x:c r="D20" s="77" t="n">
        <x:f>Cronograma!F21</x:f>
        <x:v>46349</x:v>
      </x:c>
      <x:c r="E20" s="77" t="n">
        <x:f>Cronograma!G21</x:f>
        <x:v>46374</x:v>
      </x:c>
      <x:c r="F20" s="78" t="n">
        <x:f>Cronograma!H21</x:f>
        <x:v>26</x:v>
      </x:c>
      <x:c r="G20" s="79" t="str">
        <x:f>IF(AND(G$5&lt;=Cronograma!$G21,G$5+6&gt;=Cronograma!$F21),IF(Cronograma!$D21="Hito","◆","■"),"")</x:f>
      </x:c>
      <x:c r="H20" s="79" t="str">
        <x:f>IF(AND(H$5&lt;=Cronograma!$G21,H$5+6&gt;=Cronograma!$F21),IF(Cronograma!$D21="Hito","◆","■"),"")</x:f>
      </x:c>
      <x:c r="I20" s="79" t="str">
        <x:f>IF(AND(I$5&lt;=Cronograma!$G21,I$5+6&gt;=Cronograma!$F21),IF(Cronograma!$D21="Hito","◆","■"),"")</x:f>
      </x:c>
      <x:c r="J20" s="79" t="str">
        <x:f>IF(AND(J$5&lt;=Cronograma!$G21,J$5+6&gt;=Cronograma!$F21),IF(Cronograma!$D21="Hito","◆","■"),"")</x:f>
      </x:c>
      <x:c r="K20" s="79" t="str">
        <x:f>IF(AND(K$5&lt;=Cronograma!$G21,K$5+6&gt;=Cronograma!$F21),IF(Cronograma!$D21="Hito","◆","■"),"")</x:f>
      </x:c>
      <x:c r="L20" s="79" t="str">
        <x:f>IF(AND(L$5&lt;=Cronograma!$G21,L$5+6&gt;=Cronograma!$F21),IF(Cronograma!$D21="Hito","◆","■"),"")</x:f>
      </x:c>
      <x:c r="M20" s="79" t="str">
        <x:f>IF(AND(M$5&lt;=Cronograma!$G21,M$5+6&gt;=Cronograma!$F21),IF(Cronograma!$D21="Hito","◆","■"),"")</x:f>
      </x:c>
      <x:c r="N20" s="79" t="str">
        <x:f>IF(AND(N$5&lt;=Cronograma!$G21,N$5+6&gt;=Cronograma!$F21),IF(Cronograma!$D21="Hito","◆","■"),"")</x:f>
      </x:c>
      <x:c r="O20" s="79" t="str">
        <x:f>IF(AND(O$5&lt;=Cronograma!$G21,O$5+6&gt;=Cronograma!$F21),IF(Cronograma!$D21="Hito","◆","■"),"")</x:f>
      </x:c>
      <x:c r="P20" s="79" t="str">
        <x:f>IF(AND(P$5&lt;=Cronograma!$G21,P$5+6&gt;=Cronograma!$F21),IF(Cronograma!$D21="Hito","◆","■"),"")</x:f>
      </x:c>
      <x:c r="Q20" s="79" t="str">
        <x:f>IF(AND(Q$5&lt;=Cronograma!$G21,Q$5+6&gt;=Cronograma!$F21),IF(Cronograma!$D21="Hito","◆","■"),"")</x:f>
      </x:c>
      <x:c r="R20" s="79" t="str">
        <x:f>IF(AND(R$5&lt;=Cronograma!$G21,R$5+6&gt;=Cronograma!$F21),IF(Cronograma!$D21="Hito","◆","■"),"")</x:f>
        <x:v>■</x:v>
      </x:c>
      <x:c r="S20" s="79" t="str">
        <x:f>IF(AND(S$5&lt;=Cronograma!$G21,S$5+6&gt;=Cronograma!$F21),IF(Cronograma!$D21="Hito","◆","■"),"")</x:f>
        <x:v>■</x:v>
      </x:c>
      <x:c r="T20" s="79" t="str">
        <x:f>IF(AND(T$5&lt;=Cronograma!$G21,T$5+6&gt;=Cronograma!$F21),IF(Cronograma!$D21="Hito","◆","■"),"")</x:f>
        <x:v>■</x:v>
      </x:c>
      <x:c r="U20" s="79" t="str">
        <x:f>IF(AND(U$5&lt;=Cronograma!$G21,U$5+6&gt;=Cronograma!$F21),IF(Cronograma!$D21="Hito","◆","■"),"")</x:f>
        <x:v>■</x:v>
      </x:c>
      <x:c r="V20" s="79" t="str">
        <x:f>IF(AND(V$5&lt;=Cronograma!$G21,V$5+6&gt;=Cronograma!$F21),IF(Cronograma!$D21="Hito","◆","■"),"")</x:f>
      </x:c>
      <x:c r="W20" s="79" t="str">
        <x:f>IF(AND(W$5&lt;=Cronograma!$G21,W$5+6&gt;=Cronograma!$F21),IF(Cronograma!$D21="Hito","◆","■"),"")</x:f>
      </x:c>
      <x:c r="X20" s="79" t="str">
        <x:f>IF(AND(X$5&lt;=Cronograma!$G21,X$5+6&gt;=Cronograma!$F21),IF(Cronograma!$D21="Hito","◆","■"),"")</x:f>
      </x:c>
      <x:c r="Y20" s="79" t="str">
        <x:f>IF(AND(Y$5&lt;=Cronograma!$G21,Y$5+6&gt;=Cronograma!$F21),IF(Cronograma!$D21="Hito","◆","■"),"")</x:f>
      </x:c>
      <x:c r="Z20" s="79" t="str">
        <x:f>IF(AND(Z$5&lt;=Cronograma!$G21,Z$5+6&gt;=Cronograma!$F21),IF(Cronograma!$D21="Hito","◆","■"),"")</x:f>
      </x:c>
      <x:c r="AA20" s="79" t="str">
        <x:f>IF(AND(AA$5&lt;=Cronograma!$G21,AA$5+6&gt;=Cronograma!$F21),IF(Cronograma!$D21="Hito","◆","■"),"")</x:f>
      </x:c>
      <x:c r="AB20" s="79" t="str">
        <x:f>IF(AND(AB$5&lt;=Cronograma!$G21,AB$5+6&gt;=Cronograma!$F21),IF(Cronograma!$D21="Hito","◆","■"),"")</x:f>
      </x:c>
      <x:c r="AC20" s="79" t="str">
        <x:f>IF(AND(AC$5&lt;=Cronograma!$G21,AC$5+6&gt;=Cronograma!$F21),IF(Cronograma!$D21="Hito","◆","■"),"")</x:f>
      </x:c>
      <x:c r="AD20" s="79" t="str">
        <x:f>IF(AND(AD$5&lt;=Cronograma!$G21,AD$5+6&gt;=Cronograma!$F21),IF(Cronograma!$D21="Hito","◆","■"),"")</x:f>
      </x:c>
      <x:c r="AE20" s="79" t="str">
        <x:f>IF(AND(AE$5&lt;=Cronograma!$G21,AE$5+6&gt;=Cronograma!$F21),IF(Cronograma!$D21="Hito","◆","■"),"")</x:f>
      </x:c>
      <x:c r="AF20" s="79" t="str">
        <x:f>IF(AND(AF$5&lt;=Cronograma!$G21,AF$5+6&gt;=Cronograma!$F21),IF(Cronograma!$D21="Hito","◆","■"),"")</x:f>
      </x:c>
      <x:c r="AG20" s="79" t="str">
        <x:f>IF(AND(AG$5&lt;=Cronograma!$G21,AG$5+6&gt;=Cronograma!$F21),IF(Cronograma!$D21="Hito","◆","■"),"")</x:f>
      </x:c>
      <x:c r="AH20" s="79" t="str">
        <x:f>IF(AND(AH$5&lt;=Cronograma!$G21,AH$5+6&gt;=Cronograma!$F21),IF(Cronograma!$D21="Hito","◆","■"),"")</x:f>
      </x:c>
      <x:c r="AI20" s="79" t="str">
        <x:f>IF(AND(AI$5&lt;=Cronograma!$G21,AI$5+6&gt;=Cronograma!$F21),IF(Cronograma!$D21="Hito","◆","■"),"")</x:f>
      </x:c>
      <x:c r="AJ20" s="79" t="str">
        <x:f>IF(AND(AJ$5&lt;=Cronograma!$G21,AJ$5+6&gt;=Cronograma!$F21),IF(Cronograma!$D21="Hito","◆","■"),"")</x:f>
      </x:c>
      <x:c r="AK20" s="79" t="str">
        <x:f>IF(AND(AK$5&lt;=Cronograma!$G21,AK$5+6&gt;=Cronograma!$F21),IF(Cronograma!$D21="Hito","◆","■"),"")</x:f>
      </x:c>
      <x:c r="AL20" s="79" t="str">
        <x:f>IF(AND(AL$5&lt;=Cronograma!$G21,AL$5+6&gt;=Cronograma!$F21),IF(Cronograma!$D21="Hito","◆","■"),"")</x:f>
      </x:c>
      <x:c r="AM20" s="79" t="str">
        <x:f>IF(AND(AM$5&lt;=Cronograma!$G21,AM$5+6&gt;=Cronograma!$F21),IF(Cronograma!$D21="Hito","◆","■"),"")</x:f>
      </x:c>
      <x:c r="AN20" s="79" t="str">
        <x:f>IF(AND(AN$5&lt;=Cronograma!$G21,AN$5+6&gt;=Cronograma!$F21),IF(Cronograma!$D21="Hito","◆","■"),"")</x:f>
      </x:c>
      <x:c r="AO20" s="79" t="str">
        <x:f>IF(AND(AO$5&lt;=Cronograma!$G21,AO$5+6&gt;=Cronograma!$F21),IF(Cronograma!$D21="Hito","◆","■"),"")</x:f>
      </x:c>
      <x:c r="AP20" s="79" t="str">
        <x:f>IF(AND(AP$5&lt;=Cronograma!$G21,AP$5+6&gt;=Cronograma!$F21),IF(Cronograma!$D21="Hito","◆","■"),"")</x:f>
      </x:c>
      <x:c r="AQ20" s="79" t="str">
        <x:f>IF(AND(AQ$5&lt;=Cronograma!$G21,AQ$5+6&gt;=Cronograma!$F21),IF(Cronograma!$D21="Hito","◆","■"),"")</x:f>
      </x:c>
      <x:c r="AR20" s="79" t="str">
        <x:f>IF(AND(AR$5&lt;=Cronograma!$G21,AR$5+6&gt;=Cronograma!$F21),IF(Cronograma!$D21="Hito","◆","■"),"")</x:f>
      </x:c>
    </x:row>
    <x:row r="21" ht="25" customHeight="1">
      <x:c r="A21" s="76" t="str">
        <x:f>Cronograma!A22</x:f>
        <x:v>CO-05</x:v>
      </x:c>
      <x:c r="B21" s="76" t="str">
        <x:f>Cronograma!B22</x:f>
        <x:v>Construcción</x:v>
      </x:c>
      <x:c r="C21" s="76" t="str">
        <x:f>Cronograma!C22</x:f>
        <x:v>Resultados , protocolos y evidencias</x:v>
      </x:c>
      <x:c r="D21" s="77" t="n">
        <x:f>Cronograma!F22</x:f>
        <x:v>46370</x:v>
      </x:c>
      <x:c r="E21" s="77" t="n">
        <x:f>Cronograma!G22</x:f>
        <x:v>46402</x:v>
      </x:c>
      <x:c r="F21" s="78" t="n">
        <x:f>Cronograma!H22</x:f>
        <x:v>33</x:v>
      </x:c>
      <x:c r="G21" s="79" t="str">
        <x:f>IF(AND(G$5&lt;=Cronograma!$G22,G$5+6&gt;=Cronograma!$F22),IF(Cronograma!$D22="Hito","◆","■"),"")</x:f>
      </x:c>
      <x:c r="H21" s="79" t="str">
        <x:f>IF(AND(H$5&lt;=Cronograma!$G22,H$5+6&gt;=Cronograma!$F22),IF(Cronograma!$D22="Hito","◆","■"),"")</x:f>
      </x:c>
      <x:c r="I21" s="79" t="str">
        <x:f>IF(AND(I$5&lt;=Cronograma!$G22,I$5+6&gt;=Cronograma!$F22),IF(Cronograma!$D22="Hito","◆","■"),"")</x:f>
      </x:c>
      <x:c r="J21" s="79" t="str">
        <x:f>IF(AND(J$5&lt;=Cronograma!$G22,J$5+6&gt;=Cronograma!$F22),IF(Cronograma!$D22="Hito","◆","■"),"")</x:f>
      </x:c>
      <x:c r="K21" s="79" t="str">
        <x:f>IF(AND(K$5&lt;=Cronograma!$G22,K$5+6&gt;=Cronograma!$F22),IF(Cronograma!$D22="Hito","◆","■"),"")</x:f>
      </x:c>
      <x:c r="L21" s="79" t="str">
        <x:f>IF(AND(L$5&lt;=Cronograma!$G22,L$5+6&gt;=Cronograma!$F22),IF(Cronograma!$D22="Hito","◆","■"),"")</x:f>
      </x:c>
      <x:c r="M21" s="79" t="str">
        <x:f>IF(AND(M$5&lt;=Cronograma!$G22,M$5+6&gt;=Cronograma!$F22),IF(Cronograma!$D22="Hito","◆","■"),"")</x:f>
      </x:c>
      <x:c r="N21" s="79" t="str">
        <x:f>IF(AND(N$5&lt;=Cronograma!$G22,N$5+6&gt;=Cronograma!$F22),IF(Cronograma!$D22="Hito","◆","■"),"")</x:f>
      </x:c>
      <x:c r="O21" s="79" t="str">
        <x:f>IF(AND(O$5&lt;=Cronograma!$G22,O$5+6&gt;=Cronograma!$F22),IF(Cronograma!$D22="Hito","◆","■"),"")</x:f>
      </x:c>
      <x:c r="P21" s="79" t="str">
        <x:f>IF(AND(P$5&lt;=Cronograma!$G22,P$5+6&gt;=Cronograma!$F22),IF(Cronograma!$D22="Hito","◆","■"),"")</x:f>
      </x:c>
      <x:c r="Q21" s="79" t="str">
        <x:f>IF(AND(Q$5&lt;=Cronograma!$G22,Q$5+6&gt;=Cronograma!$F22),IF(Cronograma!$D22="Hito","◆","■"),"")</x:f>
      </x:c>
      <x:c r="R21" s="79" t="str">
        <x:f>IF(AND(R$5&lt;=Cronograma!$G22,R$5+6&gt;=Cronograma!$F22),IF(Cronograma!$D22="Hito","◆","■"),"")</x:f>
      </x:c>
      <x:c r="S21" s="79" t="str">
        <x:f>IF(AND(S$5&lt;=Cronograma!$G22,S$5+6&gt;=Cronograma!$F22),IF(Cronograma!$D22="Hito","◆","■"),"")</x:f>
      </x:c>
      <x:c r="T21" s="79" t="str">
        <x:f>IF(AND(T$5&lt;=Cronograma!$G22,T$5+6&gt;=Cronograma!$F22),IF(Cronograma!$D22="Hito","◆","■"),"")</x:f>
      </x:c>
      <x:c r="U21" s="79" t="str">
        <x:f>IF(AND(U$5&lt;=Cronograma!$G22,U$5+6&gt;=Cronograma!$F22),IF(Cronograma!$D22="Hito","◆","■"),"")</x:f>
        <x:v>■</x:v>
      </x:c>
      <x:c r="V21" s="79" t="str">
        <x:f>IF(AND(V$5&lt;=Cronograma!$G22,V$5+6&gt;=Cronograma!$F22),IF(Cronograma!$D22="Hito","◆","■"),"")</x:f>
        <x:v>■</x:v>
      </x:c>
      <x:c r="W21" s="79" t="str">
        <x:f>IF(AND(W$5&lt;=Cronograma!$G22,W$5+6&gt;=Cronograma!$F22),IF(Cronograma!$D22="Hito","◆","■"),"")</x:f>
        <x:v>■</x:v>
      </x:c>
      <x:c r="X21" s="79" t="str">
        <x:f>IF(AND(X$5&lt;=Cronograma!$G22,X$5+6&gt;=Cronograma!$F22),IF(Cronograma!$D22="Hito","◆","■"),"")</x:f>
        <x:v>■</x:v>
      </x:c>
      <x:c r="Y21" s="79" t="str">
        <x:f>IF(AND(Y$5&lt;=Cronograma!$G22,Y$5+6&gt;=Cronograma!$F22),IF(Cronograma!$D22="Hito","◆","■"),"")</x:f>
        <x:v>■</x:v>
      </x:c>
      <x:c r="Z21" s="79" t="str">
        <x:f>IF(AND(Z$5&lt;=Cronograma!$G22,Z$5+6&gt;=Cronograma!$F22),IF(Cronograma!$D22="Hito","◆","■"),"")</x:f>
      </x:c>
      <x:c r="AA21" s="79" t="str">
        <x:f>IF(AND(AA$5&lt;=Cronograma!$G22,AA$5+6&gt;=Cronograma!$F22),IF(Cronograma!$D22="Hito","◆","■"),"")</x:f>
      </x:c>
      <x:c r="AB21" s="79" t="str">
        <x:f>IF(AND(AB$5&lt;=Cronograma!$G22,AB$5+6&gt;=Cronograma!$F22),IF(Cronograma!$D22="Hito","◆","■"),"")</x:f>
      </x:c>
      <x:c r="AC21" s="79" t="str">
        <x:f>IF(AND(AC$5&lt;=Cronograma!$G22,AC$5+6&gt;=Cronograma!$F22),IF(Cronograma!$D22="Hito","◆","■"),"")</x:f>
      </x:c>
      <x:c r="AD21" s="79" t="str">
        <x:f>IF(AND(AD$5&lt;=Cronograma!$G22,AD$5+6&gt;=Cronograma!$F22),IF(Cronograma!$D22="Hito","◆","■"),"")</x:f>
      </x:c>
      <x:c r="AE21" s="79" t="str">
        <x:f>IF(AND(AE$5&lt;=Cronograma!$G22,AE$5+6&gt;=Cronograma!$F22),IF(Cronograma!$D22="Hito","◆","■"),"")</x:f>
      </x:c>
      <x:c r="AF21" s="79" t="str">
        <x:f>IF(AND(AF$5&lt;=Cronograma!$G22,AF$5+6&gt;=Cronograma!$F22),IF(Cronograma!$D22="Hito","◆","■"),"")</x:f>
      </x:c>
      <x:c r="AG21" s="79" t="str">
        <x:f>IF(AND(AG$5&lt;=Cronograma!$G22,AG$5+6&gt;=Cronograma!$F22),IF(Cronograma!$D22="Hito","◆","■"),"")</x:f>
      </x:c>
      <x:c r="AH21" s="79" t="str">
        <x:f>IF(AND(AH$5&lt;=Cronograma!$G22,AH$5+6&gt;=Cronograma!$F22),IF(Cronograma!$D22="Hito","◆","■"),"")</x:f>
      </x:c>
      <x:c r="AI21" s="79" t="str">
        <x:f>IF(AND(AI$5&lt;=Cronograma!$G22,AI$5+6&gt;=Cronograma!$F22),IF(Cronograma!$D22="Hito","◆","■"),"")</x:f>
      </x:c>
      <x:c r="AJ21" s="79" t="str">
        <x:f>IF(AND(AJ$5&lt;=Cronograma!$G22,AJ$5+6&gt;=Cronograma!$F22),IF(Cronograma!$D22="Hito","◆","■"),"")</x:f>
      </x:c>
      <x:c r="AK21" s="79" t="str">
        <x:f>IF(AND(AK$5&lt;=Cronograma!$G22,AK$5+6&gt;=Cronograma!$F22),IF(Cronograma!$D22="Hito","◆","■"),"")</x:f>
      </x:c>
      <x:c r="AL21" s="79" t="str">
        <x:f>IF(AND(AL$5&lt;=Cronograma!$G22,AL$5+6&gt;=Cronograma!$F22),IF(Cronograma!$D22="Hito","◆","■"),"")</x:f>
      </x:c>
      <x:c r="AM21" s="79" t="str">
        <x:f>IF(AND(AM$5&lt;=Cronograma!$G22,AM$5+6&gt;=Cronograma!$F22),IF(Cronograma!$D22="Hito","◆","■"),"")</x:f>
      </x:c>
      <x:c r="AN21" s="79" t="str">
        <x:f>IF(AND(AN$5&lt;=Cronograma!$G22,AN$5+6&gt;=Cronograma!$F22),IF(Cronograma!$D22="Hito","◆","■"),"")</x:f>
      </x:c>
      <x:c r="AO21" s="79" t="str">
        <x:f>IF(AND(AO$5&lt;=Cronograma!$G22,AO$5+6&gt;=Cronograma!$F22),IF(Cronograma!$D22="Hito","◆","■"),"")</x:f>
      </x:c>
      <x:c r="AP21" s="79" t="str">
        <x:f>IF(AND(AP$5&lt;=Cronograma!$G22,AP$5+6&gt;=Cronograma!$F22),IF(Cronograma!$D22="Hito","◆","■"),"")</x:f>
      </x:c>
      <x:c r="AQ21" s="79" t="str">
        <x:f>IF(AND(AQ$5&lt;=Cronograma!$G22,AQ$5+6&gt;=Cronograma!$F22),IF(Cronograma!$D22="Hito","◆","■"),"")</x:f>
      </x:c>
      <x:c r="AR21" s="79" t="str">
        <x:f>IF(AND(AR$5&lt;=Cronograma!$G22,AR$5+6&gt;=Cronograma!$F22),IF(Cronograma!$D22="Hito","◆","■"),"")</x:f>
      </x:c>
    </x:row>
    <x:row r="22" ht="25" customHeight="1">
      <x:c r="A22" s="76" t="str">
        <x:f>Cronograma!A23</x:f>
        <x:v>CO-06</x:v>
      </x:c>
      <x:c r="B22" s="76" t="str">
        <x:f>Cronograma!B23</x:f>
        <x:v>Construcción</x:v>
      </x:c>
      <x:c r="C22" s="76" t="str">
        <x:f>Cronograma!C23</x:f>
        <x:v>Aprobaciones, entregas y traspasos</x:v>
      </x:c>
      <x:c r="D22" s="77" t="n">
        <x:f>Cronograma!F23</x:f>
        <x:v>46391</x:v>
      </x:c>
      <x:c r="E22" s="77" t="n">
        <x:f>Cronograma!G23</x:f>
        <x:v>46416</x:v>
      </x:c>
      <x:c r="F22" s="78" t="n">
        <x:f>Cronograma!H23</x:f>
        <x:v>26</x:v>
      </x:c>
      <x:c r="G22" s="79" t="str">
        <x:f>IF(AND(G$5&lt;=Cronograma!$G23,G$5+6&gt;=Cronograma!$F23),IF(Cronograma!$D23="Hito","◆","■"),"")</x:f>
      </x:c>
      <x:c r="H22" s="79" t="str">
        <x:f>IF(AND(H$5&lt;=Cronograma!$G23,H$5+6&gt;=Cronograma!$F23),IF(Cronograma!$D23="Hito","◆","■"),"")</x:f>
      </x:c>
      <x:c r="I22" s="79" t="str">
        <x:f>IF(AND(I$5&lt;=Cronograma!$G23,I$5+6&gt;=Cronograma!$F23),IF(Cronograma!$D23="Hito","◆","■"),"")</x:f>
      </x:c>
      <x:c r="J22" s="79" t="str">
        <x:f>IF(AND(J$5&lt;=Cronograma!$G23,J$5+6&gt;=Cronograma!$F23),IF(Cronograma!$D23="Hito","◆","■"),"")</x:f>
      </x:c>
      <x:c r="K22" s="79" t="str">
        <x:f>IF(AND(K$5&lt;=Cronograma!$G23,K$5+6&gt;=Cronograma!$F23),IF(Cronograma!$D23="Hito","◆","■"),"")</x:f>
      </x:c>
      <x:c r="L22" s="79" t="str">
        <x:f>IF(AND(L$5&lt;=Cronograma!$G23,L$5+6&gt;=Cronograma!$F23),IF(Cronograma!$D23="Hito","◆","■"),"")</x:f>
      </x:c>
      <x:c r="M22" s="79" t="str">
        <x:f>IF(AND(M$5&lt;=Cronograma!$G23,M$5+6&gt;=Cronograma!$F23),IF(Cronograma!$D23="Hito","◆","■"),"")</x:f>
      </x:c>
      <x:c r="N22" s="79" t="str">
        <x:f>IF(AND(N$5&lt;=Cronograma!$G23,N$5+6&gt;=Cronograma!$F23),IF(Cronograma!$D23="Hito","◆","■"),"")</x:f>
      </x:c>
      <x:c r="O22" s="79" t="str">
        <x:f>IF(AND(O$5&lt;=Cronograma!$G23,O$5+6&gt;=Cronograma!$F23),IF(Cronograma!$D23="Hito","◆","■"),"")</x:f>
      </x:c>
      <x:c r="P22" s="79" t="str">
        <x:f>IF(AND(P$5&lt;=Cronograma!$G23,P$5+6&gt;=Cronograma!$F23),IF(Cronograma!$D23="Hito","◆","■"),"")</x:f>
      </x:c>
      <x:c r="Q22" s="79" t="str">
        <x:f>IF(AND(Q$5&lt;=Cronograma!$G23,Q$5+6&gt;=Cronograma!$F23),IF(Cronograma!$D23="Hito","◆","■"),"")</x:f>
      </x:c>
      <x:c r="R22" s="79" t="str">
        <x:f>IF(AND(R$5&lt;=Cronograma!$G23,R$5+6&gt;=Cronograma!$F23),IF(Cronograma!$D23="Hito","◆","■"),"")</x:f>
      </x:c>
      <x:c r="S22" s="79" t="str">
        <x:f>IF(AND(S$5&lt;=Cronograma!$G23,S$5+6&gt;=Cronograma!$F23),IF(Cronograma!$D23="Hito","◆","■"),"")</x:f>
      </x:c>
      <x:c r="T22" s="79" t="str">
        <x:f>IF(AND(T$5&lt;=Cronograma!$G23,T$5+6&gt;=Cronograma!$F23),IF(Cronograma!$D23="Hito","◆","■"),"")</x:f>
      </x:c>
      <x:c r="U22" s="79" t="str">
        <x:f>IF(AND(U$5&lt;=Cronograma!$G23,U$5+6&gt;=Cronograma!$F23),IF(Cronograma!$D23="Hito","◆","■"),"")</x:f>
      </x:c>
      <x:c r="V22" s="79" t="str">
        <x:f>IF(AND(V$5&lt;=Cronograma!$G23,V$5+6&gt;=Cronograma!$F23),IF(Cronograma!$D23="Hito","◆","■"),"")</x:f>
      </x:c>
      <x:c r="W22" s="79" t="str">
        <x:f>IF(AND(W$5&lt;=Cronograma!$G23,W$5+6&gt;=Cronograma!$F23),IF(Cronograma!$D23="Hito","◆","■"),"")</x:f>
      </x:c>
      <x:c r="X22" s="79" t="str">
        <x:f>IF(AND(X$5&lt;=Cronograma!$G23,X$5+6&gt;=Cronograma!$F23),IF(Cronograma!$D23="Hito","◆","■"),"")</x:f>
        <x:v>■</x:v>
      </x:c>
      <x:c r="Y22" s="79" t="str">
        <x:f>IF(AND(Y$5&lt;=Cronograma!$G23,Y$5+6&gt;=Cronograma!$F23),IF(Cronograma!$D23="Hito","◆","■"),"")</x:f>
        <x:v>■</x:v>
      </x:c>
      <x:c r="Z22" s="79" t="str">
        <x:f>IF(AND(Z$5&lt;=Cronograma!$G23,Z$5+6&gt;=Cronograma!$F23),IF(Cronograma!$D23="Hito","◆","■"),"")</x:f>
        <x:v>■</x:v>
      </x:c>
      <x:c r="AA22" s="79" t="str">
        <x:f>IF(AND(AA$5&lt;=Cronograma!$G23,AA$5+6&gt;=Cronograma!$F23),IF(Cronograma!$D23="Hito","◆","■"),"")</x:f>
        <x:v>■</x:v>
      </x:c>
      <x:c r="AB22" s="79" t="str">
        <x:f>IF(AND(AB$5&lt;=Cronograma!$G23,AB$5+6&gt;=Cronograma!$F23),IF(Cronograma!$D23="Hito","◆","■"),"")</x:f>
      </x:c>
      <x:c r="AC22" s="79" t="str">
        <x:f>IF(AND(AC$5&lt;=Cronograma!$G23,AC$5+6&gt;=Cronograma!$F23),IF(Cronograma!$D23="Hito","◆","■"),"")</x:f>
      </x:c>
      <x:c r="AD22" s="79" t="str">
        <x:f>IF(AND(AD$5&lt;=Cronograma!$G23,AD$5+6&gt;=Cronograma!$F23),IF(Cronograma!$D23="Hito","◆","■"),"")</x:f>
      </x:c>
      <x:c r="AE22" s="79" t="str">
        <x:f>IF(AND(AE$5&lt;=Cronograma!$G23,AE$5+6&gt;=Cronograma!$F23),IF(Cronograma!$D23="Hito","◆","■"),"")</x:f>
      </x:c>
      <x:c r="AF22" s="79" t="str">
        <x:f>IF(AND(AF$5&lt;=Cronograma!$G23,AF$5+6&gt;=Cronograma!$F23),IF(Cronograma!$D23="Hito","◆","■"),"")</x:f>
      </x:c>
      <x:c r="AG22" s="79" t="str">
        <x:f>IF(AND(AG$5&lt;=Cronograma!$G23,AG$5+6&gt;=Cronograma!$F23),IF(Cronograma!$D23="Hito","◆","■"),"")</x:f>
      </x:c>
      <x:c r="AH22" s="79" t="str">
        <x:f>IF(AND(AH$5&lt;=Cronograma!$G23,AH$5+6&gt;=Cronograma!$F23),IF(Cronograma!$D23="Hito","◆","■"),"")</x:f>
      </x:c>
      <x:c r="AI22" s="79" t="str">
        <x:f>IF(AND(AI$5&lt;=Cronograma!$G23,AI$5+6&gt;=Cronograma!$F23),IF(Cronograma!$D23="Hito","◆","■"),"")</x:f>
      </x:c>
      <x:c r="AJ22" s="79" t="str">
        <x:f>IF(AND(AJ$5&lt;=Cronograma!$G23,AJ$5+6&gt;=Cronograma!$F23),IF(Cronograma!$D23="Hito","◆","■"),"")</x:f>
      </x:c>
      <x:c r="AK22" s="79" t="str">
        <x:f>IF(AND(AK$5&lt;=Cronograma!$G23,AK$5+6&gt;=Cronograma!$F23),IF(Cronograma!$D23="Hito","◆","■"),"")</x:f>
      </x:c>
      <x:c r="AL22" s="79" t="str">
        <x:f>IF(AND(AL$5&lt;=Cronograma!$G23,AL$5+6&gt;=Cronograma!$F23),IF(Cronograma!$D23="Hito","◆","■"),"")</x:f>
      </x:c>
      <x:c r="AM22" s="79" t="str">
        <x:f>IF(AND(AM$5&lt;=Cronograma!$G23,AM$5+6&gt;=Cronograma!$F23),IF(Cronograma!$D23="Hito","◆","■"),"")</x:f>
      </x:c>
      <x:c r="AN22" s="79" t="str">
        <x:f>IF(AND(AN$5&lt;=Cronograma!$G23,AN$5+6&gt;=Cronograma!$F23),IF(Cronograma!$D23="Hito","◆","■"),"")</x:f>
      </x:c>
      <x:c r="AO22" s="79" t="str">
        <x:f>IF(AND(AO$5&lt;=Cronograma!$G23,AO$5+6&gt;=Cronograma!$F23),IF(Cronograma!$D23="Hito","◆","■"),"")</x:f>
      </x:c>
      <x:c r="AP22" s="79" t="str">
        <x:f>IF(AND(AP$5&lt;=Cronograma!$G23,AP$5+6&gt;=Cronograma!$F23),IF(Cronograma!$D23="Hito","◆","■"),"")</x:f>
      </x:c>
      <x:c r="AQ22" s="79" t="str">
        <x:f>IF(AND(AQ$5&lt;=Cronograma!$G23,AQ$5+6&gt;=Cronograma!$F23),IF(Cronograma!$D23="Hito","◆","■"),"")</x:f>
      </x:c>
      <x:c r="AR22" s="79" t="str">
        <x:f>IF(AND(AR$5&lt;=Cronograma!$G23,AR$5+6&gt;=Cronograma!$F23),IF(Cronograma!$D23="Hito","◆","■"),"")</x:f>
      </x:c>
    </x:row>
    <x:row r="23" ht="25" customHeight="1">
      <x:c r="A23" s="76" t="str">
        <x:f>Cronograma!A24</x:f>
        <x:v>CO-16</x:v>
      </x:c>
      <x:c r="B23" s="76" t="str">
        <x:f>Cronograma!B24</x:f>
        <x:v>Construcción</x:v>
      </x:c>
      <x:c r="C23" s="76" t="str">
        <x:f>Cronograma!C24</x:f>
        <x:v>Operación completa de Precomisionamiento</x:v>
      </x:c>
      <x:c r="D23" s="77" t="n">
        <x:f>Cronograma!F24</x:f>
        <x:v>46349</x:v>
      </x:c>
      <x:c r="E23" s="77" t="n">
        <x:f>Cronograma!G24</x:f>
        <x:v>46402</x:v>
      </x:c>
      <x:c r="F23" s="78" t="n">
        <x:f>Cronograma!H24</x:f>
        <x:v>54</x:v>
      </x:c>
      <x:c r="G23" s="79" t="str">
        <x:f>IF(AND(G$5&lt;=Cronograma!$G24,G$5+6&gt;=Cronograma!$F24),IF(Cronograma!$D24="Hito","◆","■"),"")</x:f>
      </x:c>
      <x:c r="H23" s="79" t="str">
        <x:f>IF(AND(H$5&lt;=Cronograma!$G24,H$5+6&gt;=Cronograma!$F24),IF(Cronograma!$D24="Hito","◆","■"),"")</x:f>
      </x:c>
      <x:c r="I23" s="79" t="str">
        <x:f>IF(AND(I$5&lt;=Cronograma!$G24,I$5+6&gt;=Cronograma!$F24),IF(Cronograma!$D24="Hito","◆","■"),"")</x:f>
      </x:c>
      <x:c r="J23" s="79" t="str">
        <x:f>IF(AND(J$5&lt;=Cronograma!$G24,J$5+6&gt;=Cronograma!$F24),IF(Cronograma!$D24="Hito","◆","■"),"")</x:f>
      </x:c>
      <x:c r="K23" s="79" t="str">
        <x:f>IF(AND(K$5&lt;=Cronograma!$G24,K$5+6&gt;=Cronograma!$F24),IF(Cronograma!$D24="Hito","◆","■"),"")</x:f>
      </x:c>
      <x:c r="L23" s="79" t="str">
        <x:f>IF(AND(L$5&lt;=Cronograma!$G24,L$5+6&gt;=Cronograma!$F24),IF(Cronograma!$D24="Hito","◆","■"),"")</x:f>
      </x:c>
      <x:c r="M23" s="79" t="str">
        <x:f>IF(AND(M$5&lt;=Cronograma!$G24,M$5+6&gt;=Cronograma!$F24),IF(Cronograma!$D24="Hito","◆","■"),"")</x:f>
      </x:c>
      <x:c r="N23" s="79" t="str">
        <x:f>IF(AND(N$5&lt;=Cronograma!$G24,N$5+6&gt;=Cronograma!$F24),IF(Cronograma!$D24="Hito","◆","■"),"")</x:f>
      </x:c>
      <x:c r="O23" s="79" t="str">
        <x:f>IF(AND(O$5&lt;=Cronograma!$G24,O$5+6&gt;=Cronograma!$F24),IF(Cronograma!$D24="Hito","◆","■"),"")</x:f>
      </x:c>
      <x:c r="P23" s="79" t="str">
        <x:f>IF(AND(P$5&lt;=Cronograma!$G24,P$5+6&gt;=Cronograma!$F24),IF(Cronograma!$D24="Hito","◆","■"),"")</x:f>
      </x:c>
      <x:c r="Q23" s="79" t="str">
        <x:f>IF(AND(Q$5&lt;=Cronograma!$G24,Q$5+6&gt;=Cronograma!$F24),IF(Cronograma!$D24="Hito","◆","■"),"")</x:f>
      </x:c>
      <x:c r="R23" s="79" t="str">
        <x:f>IF(AND(R$5&lt;=Cronograma!$G24,R$5+6&gt;=Cronograma!$F24),IF(Cronograma!$D24="Hito","◆","■"),"")</x:f>
        <x:v>■</x:v>
      </x:c>
      <x:c r="S23" s="79" t="str">
        <x:f>IF(AND(S$5&lt;=Cronograma!$G24,S$5+6&gt;=Cronograma!$F24),IF(Cronograma!$D24="Hito","◆","■"),"")</x:f>
        <x:v>■</x:v>
      </x:c>
      <x:c r="T23" s="79" t="str">
        <x:f>IF(AND(T$5&lt;=Cronograma!$G24,T$5+6&gt;=Cronograma!$F24),IF(Cronograma!$D24="Hito","◆","■"),"")</x:f>
        <x:v>■</x:v>
      </x:c>
      <x:c r="U23" s="79" t="str">
        <x:f>IF(AND(U$5&lt;=Cronograma!$G24,U$5+6&gt;=Cronograma!$F24),IF(Cronograma!$D24="Hito","◆","■"),"")</x:f>
        <x:v>■</x:v>
      </x:c>
      <x:c r="V23" s="79" t="str">
        <x:f>IF(AND(V$5&lt;=Cronograma!$G24,V$5+6&gt;=Cronograma!$F24),IF(Cronograma!$D24="Hito","◆","■"),"")</x:f>
        <x:v>■</x:v>
      </x:c>
      <x:c r="W23" s="79" t="str">
        <x:f>IF(AND(W$5&lt;=Cronograma!$G24,W$5+6&gt;=Cronograma!$F24),IF(Cronograma!$D24="Hito","◆","■"),"")</x:f>
        <x:v>■</x:v>
      </x:c>
      <x:c r="X23" s="79" t="str">
        <x:f>IF(AND(X$5&lt;=Cronograma!$G24,X$5+6&gt;=Cronograma!$F24),IF(Cronograma!$D24="Hito","◆","■"),"")</x:f>
        <x:v>■</x:v>
      </x:c>
      <x:c r="Y23" s="79" t="str">
        <x:f>IF(AND(Y$5&lt;=Cronograma!$G24,Y$5+6&gt;=Cronograma!$F24),IF(Cronograma!$D24="Hito","◆","■"),"")</x:f>
        <x:v>■</x:v>
      </x:c>
      <x:c r="Z23" s="79" t="str">
        <x:f>IF(AND(Z$5&lt;=Cronograma!$G24,Z$5+6&gt;=Cronograma!$F24),IF(Cronograma!$D24="Hito","◆","■"),"")</x:f>
      </x:c>
      <x:c r="AA23" s="79" t="str">
        <x:f>IF(AND(AA$5&lt;=Cronograma!$G24,AA$5+6&gt;=Cronograma!$F24),IF(Cronograma!$D24="Hito","◆","■"),"")</x:f>
      </x:c>
      <x:c r="AB23" s="79" t="str">
        <x:f>IF(AND(AB$5&lt;=Cronograma!$G24,AB$5+6&gt;=Cronograma!$F24),IF(Cronograma!$D24="Hito","◆","■"),"")</x:f>
      </x:c>
      <x:c r="AC23" s="79" t="str">
        <x:f>IF(AND(AC$5&lt;=Cronograma!$G24,AC$5+6&gt;=Cronograma!$F24),IF(Cronograma!$D24="Hito","◆","■"),"")</x:f>
      </x:c>
      <x:c r="AD23" s="79" t="str">
        <x:f>IF(AND(AD$5&lt;=Cronograma!$G24,AD$5+6&gt;=Cronograma!$F24),IF(Cronograma!$D24="Hito","◆","■"),"")</x:f>
      </x:c>
      <x:c r="AE23" s="79" t="str">
        <x:f>IF(AND(AE$5&lt;=Cronograma!$G24,AE$5+6&gt;=Cronograma!$F24),IF(Cronograma!$D24="Hito","◆","■"),"")</x:f>
      </x:c>
      <x:c r="AF23" s="79" t="str">
        <x:f>IF(AND(AF$5&lt;=Cronograma!$G24,AF$5+6&gt;=Cronograma!$F24),IF(Cronograma!$D24="Hito","◆","■"),"")</x:f>
      </x:c>
      <x:c r="AG23" s="79" t="str">
        <x:f>IF(AND(AG$5&lt;=Cronograma!$G24,AG$5+6&gt;=Cronograma!$F24),IF(Cronograma!$D24="Hito","◆","■"),"")</x:f>
      </x:c>
      <x:c r="AH23" s="79" t="str">
        <x:f>IF(AND(AH$5&lt;=Cronograma!$G24,AH$5+6&gt;=Cronograma!$F24),IF(Cronograma!$D24="Hito","◆","■"),"")</x:f>
      </x:c>
      <x:c r="AI23" s="79" t="str">
        <x:f>IF(AND(AI$5&lt;=Cronograma!$G24,AI$5+6&gt;=Cronograma!$F24),IF(Cronograma!$D24="Hito","◆","■"),"")</x:f>
      </x:c>
      <x:c r="AJ23" s="79" t="str">
        <x:f>IF(AND(AJ$5&lt;=Cronograma!$G24,AJ$5+6&gt;=Cronograma!$F24),IF(Cronograma!$D24="Hito","◆","■"),"")</x:f>
      </x:c>
      <x:c r="AK23" s="79" t="str">
        <x:f>IF(AND(AK$5&lt;=Cronograma!$G24,AK$5+6&gt;=Cronograma!$F24),IF(Cronograma!$D24="Hito","◆","■"),"")</x:f>
      </x:c>
      <x:c r="AL23" s="79" t="str">
        <x:f>IF(AND(AL$5&lt;=Cronograma!$G24,AL$5+6&gt;=Cronograma!$F24),IF(Cronograma!$D24="Hito","◆","■"),"")</x:f>
      </x:c>
      <x:c r="AM23" s="79" t="str">
        <x:f>IF(AND(AM$5&lt;=Cronograma!$G24,AM$5+6&gt;=Cronograma!$F24),IF(Cronograma!$D24="Hito","◆","■"),"")</x:f>
      </x:c>
      <x:c r="AN23" s="79" t="str">
        <x:f>IF(AND(AN$5&lt;=Cronograma!$G24,AN$5+6&gt;=Cronograma!$F24),IF(Cronograma!$D24="Hito","◆","■"),"")</x:f>
      </x:c>
      <x:c r="AO23" s="79" t="str">
        <x:f>IF(AND(AO$5&lt;=Cronograma!$G24,AO$5+6&gt;=Cronograma!$F24),IF(Cronograma!$D24="Hito","◆","■"),"")</x:f>
      </x:c>
      <x:c r="AP23" s="79" t="str">
        <x:f>IF(AND(AP$5&lt;=Cronograma!$G24,AP$5+6&gt;=Cronograma!$F24),IF(Cronograma!$D24="Hito","◆","■"),"")</x:f>
      </x:c>
      <x:c r="AQ23" s="79" t="str">
        <x:f>IF(AND(AQ$5&lt;=Cronograma!$G24,AQ$5+6&gt;=Cronograma!$F24),IF(Cronograma!$D24="Hito","◆","■"),"")</x:f>
      </x:c>
      <x:c r="AR23" s="79" t="str">
        <x:f>IF(AND(AR$5&lt;=Cronograma!$G24,AR$5+6&gt;=Cronograma!$F24),IF(Cronograma!$D24="Hito","◆","■"),"")</x:f>
      </x:c>
    </x:row>
    <x:row r="24" ht="25" customHeight="1">
      <x:c r="A24" s="76" t="str">
        <x:f>Cronograma!A25</x:f>
        <x:v>CO-17</x:v>
      </x:c>
      <x:c r="B24" s="76" t="str">
        <x:f>Cronograma!B25</x:f>
        <x:v>Construcción</x:v>
      </x:c>
      <x:c r="C24" s="76" t="str">
        <x:f>Cronograma!C25</x:f>
        <x:v>Operación completa de Comisionamiento</x:v>
      </x:c>
      <x:c r="D24" s="77" t="n">
        <x:f>Cronograma!F25</x:f>
        <x:v>46363</x:v>
      </x:c>
      <x:c r="E24" s="77" t="n">
        <x:f>Cronograma!G25</x:f>
        <x:v>46409</x:v>
      </x:c>
      <x:c r="F24" s="78" t="n">
        <x:f>Cronograma!H25</x:f>
        <x:v>47</x:v>
      </x:c>
      <x:c r="G24" s="79" t="str">
        <x:f>IF(AND(G$5&lt;=Cronograma!$G25,G$5+6&gt;=Cronograma!$F25),IF(Cronograma!$D25="Hito","◆","■"),"")</x:f>
      </x:c>
      <x:c r="H24" s="79" t="str">
        <x:f>IF(AND(H$5&lt;=Cronograma!$G25,H$5+6&gt;=Cronograma!$F25),IF(Cronograma!$D25="Hito","◆","■"),"")</x:f>
      </x:c>
      <x:c r="I24" s="79" t="str">
        <x:f>IF(AND(I$5&lt;=Cronograma!$G25,I$5+6&gt;=Cronograma!$F25),IF(Cronograma!$D25="Hito","◆","■"),"")</x:f>
      </x:c>
      <x:c r="J24" s="79" t="str">
        <x:f>IF(AND(J$5&lt;=Cronograma!$G25,J$5+6&gt;=Cronograma!$F25),IF(Cronograma!$D25="Hito","◆","■"),"")</x:f>
      </x:c>
      <x:c r="K24" s="79" t="str">
        <x:f>IF(AND(K$5&lt;=Cronograma!$G25,K$5+6&gt;=Cronograma!$F25),IF(Cronograma!$D25="Hito","◆","■"),"")</x:f>
      </x:c>
      <x:c r="L24" s="79" t="str">
        <x:f>IF(AND(L$5&lt;=Cronograma!$G25,L$5+6&gt;=Cronograma!$F25),IF(Cronograma!$D25="Hito","◆","■"),"")</x:f>
      </x:c>
      <x:c r="M24" s="79" t="str">
        <x:f>IF(AND(M$5&lt;=Cronograma!$G25,M$5+6&gt;=Cronograma!$F25),IF(Cronograma!$D25="Hito","◆","■"),"")</x:f>
      </x:c>
      <x:c r="N24" s="79" t="str">
        <x:f>IF(AND(N$5&lt;=Cronograma!$G25,N$5+6&gt;=Cronograma!$F25),IF(Cronograma!$D25="Hito","◆","■"),"")</x:f>
      </x:c>
      <x:c r="O24" s="79" t="str">
        <x:f>IF(AND(O$5&lt;=Cronograma!$G25,O$5+6&gt;=Cronograma!$F25),IF(Cronograma!$D25="Hito","◆","■"),"")</x:f>
      </x:c>
      <x:c r="P24" s="79" t="str">
        <x:f>IF(AND(P$5&lt;=Cronograma!$G25,P$5+6&gt;=Cronograma!$F25),IF(Cronograma!$D25="Hito","◆","■"),"")</x:f>
      </x:c>
      <x:c r="Q24" s="79" t="str">
        <x:f>IF(AND(Q$5&lt;=Cronograma!$G25,Q$5+6&gt;=Cronograma!$F25),IF(Cronograma!$D25="Hito","◆","■"),"")</x:f>
      </x:c>
      <x:c r="R24" s="79" t="str">
        <x:f>IF(AND(R$5&lt;=Cronograma!$G25,R$5+6&gt;=Cronograma!$F25),IF(Cronograma!$D25="Hito","◆","■"),"")</x:f>
      </x:c>
      <x:c r="S24" s="79" t="str">
        <x:f>IF(AND(S$5&lt;=Cronograma!$G25,S$5+6&gt;=Cronograma!$F25),IF(Cronograma!$D25="Hito","◆","■"),"")</x:f>
      </x:c>
      <x:c r="T24" s="79" t="str">
        <x:f>IF(AND(T$5&lt;=Cronograma!$G25,T$5+6&gt;=Cronograma!$F25),IF(Cronograma!$D25="Hito","◆","■"),"")</x:f>
        <x:v>■</x:v>
      </x:c>
      <x:c r="U24" s="79" t="str">
        <x:f>IF(AND(U$5&lt;=Cronograma!$G25,U$5+6&gt;=Cronograma!$F25),IF(Cronograma!$D25="Hito","◆","■"),"")</x:f>
        <x:v>■</x:v>
      </x:c>
      <x:c r="V24" s="79" t="str">
        <x:f>IF(AND(V$5&lt;=Cronograma!$G25,V$5+6&gt;=Cronograma!$F25),IF(Cronograma!$D25="Hito","◆","■"),"")</x:f>
        <x:v>■</x:v>
      </x:c>
      <x:c r="W24" s="79" t="str">
        <x:f>IF(AND(W$5&lt;=Cronograma!$G25,W$5+6&gt;=Cronograma!$F25),IF(Cronograma!$D25="Hito","◆","■"),"")</x:f>
        <x:v>■</x:v>
      </x:c>
      <x:c r="X24" s="79" t="str">
        <x:f>IF(AND(X$5&lt;=Cronograma!$G25,X$5+6&gt;=Cronograma!$F25),IF(Cronograma!$D25="Hito","◆","■"),"")</x:f>
        <x:v>■</x:v>
      </x:c>
      <x:c r="Y24" s="79" t="str">
        <x:f>IF(AND(Y$5&lt;=Cronograma!$G25,Y$5+6&gt;=Cronograma!$F25),IF(Cronograma!$D25="Hito","◆","■"),"")</x:f>
        <x:v>■</x:v>
      </x:c>
      <x:c r="Z24" s="79" t="str">
        <x:f>IF(AND(Z$5&lt;=Cronograma!$G25,Z$5+6&gt;=Cronograma!$F25),IF(Cronograma!$D25="Hito","◆","■"),"")</x:f>
        <x:v>■</x:v>
      </x:c>
      <x:c r="AA24" s="79" t="str">
        <x:f>IF(AND(AA$5&lt;=Cronograma!$G25,AA$5+6&gt;=Cronograma!$F25),IF(Cronograma!$D25="Hito","◆","■"),"")</x:f>
      </x:c>
      <x:c r="AB24" s="79" t="str">
        <x:f>IF(AND(AB$5&lt;=Cronograma!$G25,AB$5+6&gt;=Cronograma!$F25),IF(Cronograma!$D25="Hito","◆","■"),"")</x:f>
      </x:c>
      <x:c r="AC24" s="79" t="str">
        <x:f>IF(AND(AC$5&lt;=Cronograma!$G25,AC$5+6&gt;=Cronograma!$F25),IF(Cronograma!$D25="Hito","◆","■"),"")</x:f>
      </x:c>
      <x:c r="AD24" s="79" t="str">
        <x:f>IF(AND(AD$5&lt;=Cronograma!$G25,AD$5+6&gt;=Cronograma!$F25),IF(Cronograma!$D25="Hito","◆","■"),"")</x:f>
      </x:c>
      <x:c r="AE24" s="79" t="str">
        <x:f>IF(AND(AE$5&lt;=Cronograma!$G25,AE$5+6&gt;=Cronograma!$F25),IF(Cronograma!$D25="Hito","◆","■"),"")</x:f>
      </x:c>
      <x:c r="AF24" s="79" t="str">
        <x:f>IF(AND(AF$5&lt;=Cronograma!$G25,AF$5+6&gt;=Cronograma!$F25),IF(Cronograma!$D25="Hito","◆","■"),"")</x:f>
      </x:c>
      <x:c r="AG24" s="79" t="str">
        <x:f>IF(AND(AG$5&lt;=Cronograma!$G25,AG$5+6&gt;=Cronograma!$F25),IF(Cronograma!$D25="Hito","◆","■"),"")</x:f>
      </x:c>
      <x:c r="AH24" s="79" t="str">
        <x:f>IF(AND(AH$5&lt;=Cronograma!$G25,AH$5+6&gt;=Cronograma!$F25),IF(Cronograma!$D25="Hito","◆","■"),"")</x:f>
      </x:c>
      <x:c r="AI24" s="79" t="str">
        <x:f>IF(AND(AI$5&lt;=Cronograma!$G25,AI$5+6&gt;=Cronograma!$F25),IF(Cronograma!$D25="Hito","◆","■"),"")</x:f>
      </x:c>
      <x:c r="AJ24" s="79" t="str">
        <x:f>IF(AND(AJ$5&lt;=Cronograma!$G25,AJ$5+6&gt;=Cronograma!$F25),IF(Cronograma!$D25="Hito","◆","■"),"")</x:f>
      </x:c>
      <x:c r="AK24" s="79" t="str">
        <x:f>IF(AND(AK$5&lt;=Cronograma!$G25,AK$5+6&gt;=Cronograma!$F25),IF(Cronograma!$D25="Hito","◆","■"),"")</x:f>
      </x:c>
      <x:c r="AL24" s="79" t="str">
        <x:f>IF(AND(AL$5&lt;=Cronograma!$G25,AL$5+6&gt;=Cronograma!$F25),IF(Cronograma!$D25="Hito","◆","■"),"")</x:f>
      </x:c>
      <x:c r="AM24" s="79" t="str">
        <x:f>IF(AND(AM$5&lt;=Cronograma!$G25,AM$5+6&gt;=Cronograma!$F25),IF(Cronograma!$D25="Hito","◆","■"),"")</x:f>
      </x:c>
      <x:c r="AN24" s="79" t="str">
        <x:f>IF(AND(AN$5&lt;=Cronograma!$G25,AN$5+6&gt;=Cronograma!$F25),IF(Cronograma!$D25="Hito","◆","■"),"")</x:f>
      </x:c>
      <x:c r="AO24" s="79" t="str">
        <x:f>IF(AND(AO$5&lt;=Cronograma!$G25,AO$5+6&gt;=Cronograma!$F25),IF(Cronograma!$D25="Hito","◆","■"),"")</x:f>
      </x:c>
      <x:c r="AP24" s="79" t="str">
        <x:f>IF(AND(AP$5&lt;=Cronograma!$G25,AP$5+6&gt;=Cronograma!$F25),IF(Cronograma!$D25="Hito","◆","■"),"")</x:f>
      </x:c>
      <x:c r="AQ24" s="79" t="str">
        <x:f>IF(AND(AQ$5&lt;=Cronograma!$G25,AQ$5+6&gt;=Cronograma!$F25),IF(Cronograma!$D25="Hito","◆","■"),"")</x:f>
      </x:c>
      <x:c r="AR24" s="79" t="str">
        <x:f>IF(AND(AR$5&lt;=Cronograma!$G25,AR$5+6&gt;=Cronograma!$F25),IF(Cronograma!$D25="Hito","◆","■"),"")</x:f>
      </x:c>
    </x:row>
    <x:row r="25" ht="25" customHeight="1">
      <x:c r="A25" s="76" t="str">
        <x:f>Cronograma!A26</x:f>
        <x:v>CO-18</x:v>
      </x:c>
      <x:c r="B25" s="76" t="str">
        <x:f>Cronograma!B26</x:f>
        <x:v>Construcción</x:v>
      </x:c>
      <x:c r="C25" s="76" t="str">
        <x:f>Cronograma!C26</x:f>
        <x:v>Operación completa de PEM</x:v>
      </x:c>
      <x:c r="D25" s="77" t="n">
        <x:f>Cronograma!F26</x:f>
        <x:v>46370</x:v>
      </x:c>
      <x:c r="E25" s="77" t="n">
        <x:f>Cronograma!G26</x:f>
        <x:v>46416</x:v>
      </x:c>
      <x:c r="F25" s="78" t="n">
        <x:f>Cronograma!H26</x:f>
        <x:v>47</x:v>
      </x:c>
      <x:c r="G25" s="79" t="str">
        <x:f>IF(AND(G$5&lt;=Cronograma!$G26,G$5+6&gt;=Cronograma!$F26),IF(Cronograma!$D26="Hito","◆","■"),"")</x:f>
      </x:c>
      <x:c r="H25" s="79" t="str">
        <x:f>IF(AND(H$5&lt;=Cronograma!$G26,H$5+6&gt;=Cronograma!$F26),IF(Cronograma!$D26="Hito","◆","■"),"")</x:f>
      </x:c>
      <x:c r="I25" s="79" t="str">
        <x:f>IF(AND(I$5&lt;=Cronograma!$G26,I$5+6&gt;=Cronograma!$F26),IF(Cronograma!$D26="Hito","◆","■"),"")</x:f>
      </x:c>
      <x:c r="J25" s="79" t="str">
        <x:f>IF(AND(J$5&lt;=Cronograma!$G26,J$5+6&gt;=Cronograma!$F26),IF(Cronograma!$D26="Hito","◆","■"),"")</x:f>
      </x:c>
      <x:c r="K25" s="79" t="str">
        <x:f>IF(AND(K$5&lt;=Cronograma!$G26,K$5+6&gt;=Cronograma!$F26),IF(Cronograma!$D26="Hito","◆","■"),"")</x:f>
      </x:c>
      <x:c r="L25" s="79" t="str">
        <x:f>IF(AND(L$5&lt;=Cronograma!$G26,L$5+6&gt;=Cronograma!$F26),IF(Cronograma!$D26="Hito","◆","■"),"")</x:f>
      </x:c>
      <x:c r="M25" s="79" t="str">
        <x:f>IF(AND(M$5&lt;=Cronograma!$G26,M$5+6&gt;=Cronograma!$F26),IF(Cronograma!$D26="Hito","◆","■"),"")</x:f>
      </x:c>
      <x:c r="N25" s="79" t="str">
        <x:f>IF(AND(N$5&lt;=Cronograma!$G26,N$5+6&gt;=Cronograma!$F26),IF(Cronograma!$D26="Hito","◆","■"),"")</x:f>
      </x:c>
      <x:c r="O25" s="79" t="str">
        <x:f>IF(AND(O$5&lt;=Cronograma!$G26,O$5+6&gt;=Cronograma!$F26),IF(Cronograma!$D26="Hito","◆","■"),"")</x:f>
      </x:c>
      <x:c r="P25" s="79" t="str">
        <x:f>IF(AND(P$5&lt;=Cronograma!$G26,P$5+6&gt;=Cronograma!$F26),IF(Cronograma!$D26="Hito","◆","■"),"")</x:f>
      </x:c>
      <x:c r="Q25" s="79" t="str">
        <x:f>IF(AND(Q$5&lt;=Cronograma!$G26,Q$5+6&gt;=Cronograma!$F26),IF(Cronograma!$D26="Hito","◆","■"),"")</x:f>
      </x:c>
      <x:c r="R25" s="79" t="str">
        <x:f>IF(AND(R$5&lt;=Cronograma!$G26,R$5+6&gt;=Cronograma!$F26),IF(Cronograma!$D26="Hito","◆","■"),"")</x:f>
      </x:c>
      <x:c r="S25" s="79" t="str">
        <x:f>IF(AND(S$5&lt;=Cronograma!$G26,S$5+6&gt;=Cronograma!$F26),IF(Cronograma!$D26="Hito","◆","■"),"")</x:f>
      </x:c>
      <x:c r="T25" s="79" t="str">
        <x:f>IF(AND(T$5&lt;=Cronograma!$G26,T$5+6&gt;=Cronograma!$F26),IF(Cronograma!$D26="Hito","◆","■"),"")</x:f>
      </x:c>
      <x:c r="U25" s="79" t="str">
        <x:f>IF(AND(U$5&lt;=Cronograma!$G26,U$5+6&gt;=Cronograma!$F26),IF(Cronograma!$D26="Hito","◆","■"),"")</x:f>
        <x:v>■</x:v>
      </x:c>
      <x:c r="V25" s="79" t="str">
        <x:f>IF(AND(V$5&lt;=Cronograma!$G26,V$5+6&gt;=Cronograma!$F26),IF(Cronograma!$D26="Hito","◆","■"),"")</x:f>
        <x:v>■</x:v>
      </x:c>
      <x:c r="W25" s="79" t="str">
        <x:f>IF(AND(W$5&lt;=Cronograma!$G26,W$5+6&gt;=Cronograma!$F26),IF(Cronograma!$D26="Hito","◆","■"),"")</x:f>
        <x:v>■</x:v>
      </x:c>
      <x:c r="X25" s="79" t="str">
        <x:f>IF(AND(X$5&lt;=Cronograma!$G26,X$5+6&gt;=Cronograma!$F26),IF(Cronograma!$D26="Hito","◆","■"),"")</x:f>
        <x:v>■</x:v>
      </x:c>
      <x:c r="Y25" s="79" t="str">
        <x:f>IF(AND(Y$5&lt;=Cronograma!$G26,Y$5+6&gt;=Cronograma!$F26),IF(Cronograma!$D26="Hito","◆","■"),"")</x:f>
        <x:v>■</x:v>
      </x:c>
      <x:c r="Z25" s="79" t="str">
        <x:f>IF(AND(Z$5&lt;=Cronograma!$G26,Z$5+6&gt;=Cronograma!$F26),IF(Cronograma!$D26="Hito","◆","■"),"")</x:f>
        <x:v>■</x:v>
      </x:c>
      <x:c r="AA25" s="79" t="str">
        <x:f>IF(AND(AA$5&lt;=Cronograma!$G26,AA$5+6&gt;=Cronograma!$F26),IF(Cronograma!$D26="Hito","◆","■"),"")</x:f>
        <x:v>■</x:v>
      </x:c>
      <x:c r="AB25" s="79" t="str">
        <x:f>IF(AND(AB$5&lt;=Cronograma!$G26,AB$5+6&gt;=Cronograma!$F26),IF(Cronograma!$D26="Hito","◆","■"),"")</x:f>
      </x:c>
      <x:c r="AC25" s="79" t="str">
        <x:f>IF(AND(AC$5&lt;=Cronograma!$G26,AC$5+6&gt;=Cronograma!$F26),IF(Cronograma!$D26="Hito","◆","■"),"")</x:f>
      </x:c>
      <x:c r="AD25" s="79" t="str">
        <x:f>IF(AND(AD$5&lt;=Cronograma!$G26,AD$5+6&gt;=Cronograma!$F26),IF(Cronograma!$D26="Hito","◆","■"),"")</x:f>
      </x:c>
      <x:c r="AE25" s="79" t="str">
        <x:f>IF(AND(AE$5&lt;=Cronograma!$G26,AE$5+6&gt;=Cronograma!$F26),IF(Cronograma!$D26="Hito","◆","■"),"")</x:f>
      </x:c>
      <x:c r="AF25" s="79" t="str">
        <x:f>IF(AND(AF$5&lt;=Cronograma!$G26,AF$5+6&gt;=Cronograma!$F26),IF(Cronograma!$D26="Hito","◆","■"),"")</x:f>
      </x:c>
      <x:c r="AG25" s="79" t="str">
        <x:f>IF(AND(AG$5&lt;=Cronograma!$G26,AG$5+6&gt;=Cronograma!$F26),IF(Cronograma!$D26="Hito","◆","■"),"")</x:f>
      </x:c>
      <x:c r="AH25" s="79" t="str">
        <x:f>IF(AND(AH$5&lt;=Cronograma!$G26,AH$5+6&gt;=Cronograma!$F26),IF(Cronograma!$D26="Hito","◆","■"),"")</x:f>
      </x:c>
      <x:c r="AI25" s="79" t="str">
        <x:f>IF(AND(AI$5&lt;=Cronograma!$G26,AI$5+6&gt;=Cronograma!$F26),IF(Cronograma!$D26="Hito","◆","■"),"")</x:f>
      </x:c>
      <x:c r="AJ25" s="79" t="str">
        <x:f>IF(AND(AJ$5&lt;=Cronograma!$G26,AJ$5+6&gt;=Cronograma!$F26),IF(Cronograma!$D26="Hito","◆","■"),"")</x:f>
      </x:c>
      <x:c r="AK25" s="79" t="str">
        <x:f>IF(AND(AK$5&lt;=Cronograma!$G26,AK$5+6&gt;=Cronograma!$F26),IF(Cronograma!$D26="Hito","◆","■"),"")</x:f>
      </x:c>
      <x:c r="AL25" s="79" t="str">
        <x:f>IF(AND(AL$5&lt;=Cronograma!$G26,AL$5+6&gt;=Cronograma!$F26),IF(Cronograma!$D26="Hito","◆","■"),"")</x:f>
      </x:c>
      <x:c r="AM25" s="79" t="str">
        <x:f>IF(AND(AM$5&lt;=Cronograma!$G26,AM$5+6&gt;=Cronograma!$F26),IF(Cronograma!$D26="Hito","◆","■"),"")</x:f>
      </x:c>
      <x:c r="AN25" s="79" t="str">
        <x:f>IF(AND(AN$5&lt;=Cronograma!$G26,AN$5+6&gt;=Cronograma!$F26),IF(Cronograma!$D26="Hito","◆","■"),"")</x:f>
      </x:c>
      <x:c r="AO25" s="79" t="str">
        <x:f>IF(AND(AO$5&lt;=Cronograma!$G26,AO$5+6&gt;=Cronograma!$F26),IF(Cronograma!$D26="Hito","◆","■"),"")</x:f>
      </x:c>
      <x:c r="AP25" s="79" t="str">
        <x:f>IF(AND(AP$5&lt;=Cronograma!$G26,AP$5+6&gt;=Cronograma!$F26),IF(Cronograma!$D26="Hito","◆","■"),"")</x:f>
      </x:c>
      <x:c r="AQ25" s="79" t="str">
        <x:f>IF(AND(AQ$5&lt;=Cronograma!$G26,AQ$5+6&gt;=Cronograma!$F26),IF(Cronograma!$D26="Hito","◆","■"),"")</x:f>
      </x:c>
      <x:c r="AR25" s="79" t="str">
        <x:f>IF(AND(AR$5&lt;=Cronograma!$G26,AR$5+6&gt;=Cronograma!$F26),IF(Cronograma!$D26="Hito","◆","■"),"")</x:f>
      </x:c>
    </x:row>
    <x:row r="26" ht="25" customHeight="1">
      <x:c r="A26" s="76" t="str">
        <x:f>Cronograma!A27</x:f>
        <x:v>CO-19</x:v>
      </x:c>
      <x:c r="B26" s="76" t="str">
        <x:f>Cronograma!B27</x:f>
        <x:v>Construcción</x:v>
      </x:c>
      <x:c r="C26" s="76" t="str">
        <x:f>Cronograma!C27</x:f>
        <x:v>Traspasos Precom → Com y Com → PEM</x:v>
      </x:c>
      <x:c r="D26" s="77" t="n">
        <x:f>Cronograma!F27</x:f>
        <x:v>46391</x:v>
      </x:c>
      <x:c r="E26" s="77" t="n">
        <x:f>Cronograma!G27</x:f>
        <x:v>46416</x:v>
      </x:c>
      <x:c r="F26" s="78" t="n">
        <x:f>Cronograma!H27</x:f>
        <x:v>26</x:v>
      </x:c>
      <x:c r="G26" s="79" t="str">
        <x:f>IF(AND(G$5&lt;=Cronograma!$G27,G$5+6&gt;=Cronograma!$F27),IF(Cronograma!$D27="Hito","◆","■"),"")</x:f>
      </x:c>
      <x:c r="H26" s="79" t="str">
        <x:f>IF(AND(H$5&lt;=Cronograma!$G27,H$5+6&gt;=Cronograma!$F27),IF(Cronograma!$D27="Hito","◆","■"),"")</x:f>
      </x:c>
      <x:c r="I26" s="79" t="str">
        <x:f>IF(AND(I$5&lt;=Cronograma!$G27,I$5+6&gt;=Cronograma!$F27),IF(Cronograma!$D27="Hito","◆","■"),"")</x:f>
      </x:c>
      <x:c r="J26" s="79" t="str">
        <x:f>IF(AND(J$5&lt;=Cronograma!$G27,J$5+6&gt;=Cronograma!$F27),IF(Cronograma!$D27="Hito","◆","■"),"")</x:f>
      </x:c>
      <x:c r="K26" s="79" t="str">
        <x:f>IF(AND(K$5&lt;=Cronograma!$G27,K$5+6&gt;=Cronograma!$F27),IF(Cronograma!$D27="Hito","◆","■"),"")</x:f>
      </x:c>
      <x:c r="L26" s="79" t="str">
        <x:f>IF(AND(L$5&lt;=Cronograma!$G27,L$5+6&gt;=Cronograma!$F27),IF(Cronograma!$D27="Hito","◆","■"),"")</x:f>
      </x:c>
      <x:c r="M26" s="79" t="str">
        <x:f>IF(AND(M$5&lt;=Cronograma!$G27,M$5+6&gt;=Cronograma!$F27),IF(Cronograma!$D27="Hito","◆","■"),"")</x:f>
      </x:c>
      <x:c r="N26" s="79" t="str">
        <x:f>IF(AND(N$5&lt;=Cronograma!$G27,N$5+6&gt;=Cronograma!$F27),IF(Cronograma!$D27="Hito","◆","■"),"")</x:f>
      </x:c>
      <x:c r="O26" s="79" t="str">
        <x:f>IF(AND(O$5&lt;=Cronograma!$G27,O$5+6&gt;=Cronograma!$F27),IF(Cronograma!$D27="Hito","◆","■"),"")</x:f>
      </x:c>
      <x:c r="P26" s="79" t="str">
        <x:f>IF(AND(P$5&lt;=Cronograma!$G27,P$5+6&gt;=Cronograma!$F27),IF(Cronograma!$D27="Hito","◆","■"),"")</x:f>
      </x:c>
      <x:c r="Q26" s="79" t="str">
        <x:f>IF(AND(Q$5&lt;=Cronograma!$G27,Q$5+6&gt;=Cronograma!$F27),IF(Cronograma!$D27="Hito","◆","■"),"")</x:f>
      </x:c>
      <x:c r="R26" s="79" t="str">
        <x:f>IF(AND(R$5&lt;=Cronograma!$G27,R$5+6&gt;=Cronograma!$F27),IF(Cronograma!$D27="Hito","◆","■"),"")</x:f>
      </x:c>
      <x:c r="S26" s="79" t="str">
        <x:f>IF(AND(S$5&lt;=Cronograma!$G27,S$5+6&gt;=Cronograma!$F27),IF(Cronograma!$D27="Hito","◆","■"),"")</x:f>
      </x:c>
      <x:c r="T26" s="79" t="str">
        <x:f>IF(AND(T$5&lt;=Cronograma!$G27,T$5+6&gt;=Cronograma!$F27),IF(Cronograma!$D27="Hito","◆","■"),"")</x:f>
      </x:c>
      <x:c r="U26" s="79" t="str">
        <x:f>IF(AND(U$5&lt;=Cronograma!$G27,U$5+6&gt;=Cronograma!$F27),IF(Cronograma!$D27="Hito","◆","■"),"")</x:f>
      </x:c>
      <x:c r="V26" s="79" t="str">
        <x:f>IF(AND(V$5&lt;=Cronograma!$G27,V$5+6&gt;=Cronograma!$F27),IF(Cronograma!$D27="Hito","◆","■"),"")</x:f>
      </x:c>
      <x:c r="W26" s="79" t="str">
        <x:f>IF(AND(W$5&lt;=Cronograma!$G27,W$5+6&gt;=Cronograma!$F27),IF(Cronograma!$D27="Hito","◆","■"),"")</x:f>
      </x:c>
      <x:c r="X26" s="79" t="str">
        <x:f>IF(AND(X$5&lt;=Cronograma!$G27,X$5+6&gt;=Cronograma!$F27),IF(Cronograma!$D27="Hito","◆","■"),"")</x:f>
        <x:v>■</x:v>
      </x:c>
      <x:c r="Y26" s="79" t="str">
        <x:f>IF(AND(Y$5&lt;=Cronograma!$G27,Y$5+6&gt;=Cronograma!$F27),IF(Cronograma!$D27="Hito","◆","■"),"")</x:f>
        <x:v>■</x:v>
      </x:c>
      <x:c r="Z26" s="79" t="str">
        <x:f>IF(AND(Z$5&lt;=Cronograma!$G27,Z$5+6&gt;=Cronograma!$F27),IF(Cronograma!$D27="Hito","◆","■"),"")</x:f>
        <x:v>■</x:v>
      </x:c>
      <x:c r="AA26" s="79" t="str">
        <x:f>IF(AND(AA$5&lt;=Cronograma!$G27,AA$5+6&gt;=Cronograma!$F27),IF(Cronograma!$D27="Hito","◆","■"),"")</x:f>
        <x:v>■</x:v>
      </x:c>
      <x:c r="AB26" s="79" t="str">
        <x:f>IF(AND(AB$5&lt;=Cronograma!$G27,AB$5+6&gt;=Cronograma!$F27),IF(Cronograma!$D27="Hito","◆","■"),"")</x:f>
      </x:c>
      <x:c r="AC26" s="79" t="str">
        <x:f>IF(AND(AC$5&lt;=Cronograma!$G27,AC$5+6&gt;=Cronograma!$F27),IF(Cronograma!$D27="Hito","◆","■"),"")</x:f>
      </x:c>
      <x:c r="AD26" s="79" t="str">
        <x:f>IF(AND(AD$5&lt;=Cronograma!$G27,AD$5+6&gt;=Cronograma!$F27),IF(Cronograma!$D27="Hito","◆","■"),"")</x:f>
      </x:c>
      <x:c r="AE26" s="79" t="str">
        <x:f>IF(AND(AE$5&lt;=Cronograma!$G27,AE$5+6&gt;=Cronograma!$F27),IF(Cronograma!$D27="Hito","◆","■"),"")</x:f>
      </x:c>
      <x:c r="AF26" s="79" t="str">
        <x:f>IF(AND(AF$5&lt;=Cronograma!$G27,AF$5+6&gt;=Cronograma!$F27),IF(Cronograma!$D27="Hito","◆","■"),"")</x:f>
      </x:c>
      <x:c r="AG26" s="79" t="str">
        <x:f>IF(AND(AG$5&lt;=Cronograma!$G27,AG$5+6&gt;=Cronograma!$F27),IF(Cronograma!$D27="Hito","◆","■"),"")</x:f>
      </x:c>
      <x:c r="AH26" s="79" t="str">
        <x:f>IF(AND(AH$5&lt;=Cronograma!$G27,AH$5+6&gt;=Cronograma!$F27),IF(Cronograma!$D27="Hito","◆","■"),"")</x:f>
      </x:c>
      <x:c r="AI26" s="79" t="str">
        <x:f>IF(AND(AI$5&lt;=Cronograma!$G27,AI$5+6&gt;=Cronograma!$F27),IF(Cronograma!$D27="Hito","◆","■"),"")</x:f>
      </x:c>
      <x:c r="AJ26" s="79" t="str">
        <x:f>IF(AND(AJ$5&lt;=Cronograma!$G27,AJ$5+6&gt;=Cronograma!$F27),IF(Cronograma!$D27="Hito","◆","■"),"")</x:f>
      </x:c>
      <x:c r="AK26" s="79" t="str">
        <x:f>IF(AND(AK$5&lt;=Cronograma!$G27,AK$5+6&gt;=Cronograma!$F27),IF(Cronograma!$D27="Hito","◆","■"),"")</x:f>
      </x:c>
      <x:c r="AL26" s="79" t="str">
        <x:f>IF(AND(AL$5&lt;=Cronograma!$G27,AL$5+6&gt;=Cronograma!$F27),IF(Cronograma!$D27="Hito","◆","■"),"")</x:f>
      </x:c>
      <x:c r="AM26" s="79" t="str">
        <x:f>IF(AND(AM$5&lt;=Cronograma!$G27,AM$5+6&gt;=Cronograma!$F27),IF(Cronograma!$D27="Hito","◆","■"),"")</x:f>
      </x:c>
      <x:c r="AN26" s="79" t="str">
        <x:f>IF(AND(AN$5&lt;=Cronograma!$G27,AN$5+6&gt;=Cronograma!$F27),IF(Cronograma!$D27="Hito","◆","■"),"")</x:f>
      </x:c>
      <x:c r="AO26" s="79" t="str">
        <x:f>IF(AND(AO$5&lt;=Cronograma!$G27,AO$5+6&gt;=Cronograma!$F27),IF(Cronograma!$D27="Hito","◆","■"),"")</x:f>
      </x:c>
      <x:c r="AP26" s="79" t="str">
        <x:f>IF(AND(AP$5&lt;=Cronograma!$G27,AP$5+6&gt;=Cronograma!$F27),IF(Cronograma!$D27="Hito","◆","■"),"")</x:f>
      </x:c>
      <x:c r="AQ26" s="79" t="str">
        <x:f>IF(AND(AQ$5&lt;=Cronograma!$G27,AQ$5+6&gt;=Cronograma!$F27),IF(Cronograma!$D27="Hito","◆","■"),"")</x:f>
      </x:c>
      <x:c r="AR26" s="79" t="str">
        <x:f>IF(AND(AR$5&lt;=Cronograma!$G27,AR$5+6&gt;=Cronograma!$F27),IF(Cronograma!$D27="Hito","◆","■"),"")</x:f>
      </x:c>
    </x:row>
    <x:row r="27" ht="25" customHeight="1">
      <x:c r="A27" s="76" t="str">
        <x:f>Cronograma!A28</x:f>
        <x:v>CO-20</x:v>
      </x:c>
      <x:c r="B27" s="76" t="str">
        <x:f>Cronograma!B28</x:f>
        <x:v>Construcción</x:v>
      </x:c>
      <x:c r="C27" s="76" t="str">
        <x:f>Cronograma!C28</x:f>
        <x:v>Resultados, protocolos y evidencias de Comisionamiento y PEM</x:v>
      </x:c>
      <x:c r="D27" s="77" t="n">
        <x:f>Cronograma!F28</x:f>
        <x:v>46391</x:v>
      </x:c>
      <x:c r="E27" s="77" t="n">
        <x:f>Cronograma!G28</x:f>
        <x:v>46416</x:v>
      </x:c>
      <x:c r="F27" s="78" t="n">
        <x:f>Cronograma!H28</x:f>
        <x:v>26</x:v>
      </x:c>
      <x:c r="G27" s="79" t="str">
        <x:f>IF(AND(G$5&lt;=Cronograma!$G28,G$5+6&gt;=Cronograma!$F28),IF(Cronograma!$D28="Hito","◆","■"),"")</x:f>
      </x:c>
      <x:c r="H27" s="79" t="str">
        <x:f>IF(AND(H$5&lt;=Cronograma!$G28,H$5+6&gt;=Cronograma!$F28),IF(Cronograma!$D28="Hito","◆","■"),"")</x:f>
      </x:c>
      <x:c r="I27" s="79" t="str">
        <x:f>IF(AND(I$5&lt;=Cronograma!$G28,I$5+6&gt;=Cronograma!$F28),IF(Cronograma!$D28="Hito","◆","■"),"")</x:f>
      </x:c>
      <x:c r="J27" s="79" t="str">
        <x:f>IF(AND(J$5&lt;=Cronograma!$G28,J$5+6&gt;=Cronograma!$F28),IF(Cronograma!$D28="Hito","◆","■"),"")</x:f>
      </x:c>
      <x:c r="K27" s="79" t="str">
        <x:f>IF(AND(K$5&lt;=Cronograma!$G28,K$5+6&gt;=Cronograma!$F28),IF(Cronograma!$D28="Hito","◆","■"),"")</x:f>
      </x:c>
      <x:c r="L27" s="79" t="str">
        <x:f>IF(AND(L$5&lt;=Cronograma!$G28,L$5+6&gt;=Cronograma!$F28),IF(Cronograma!$D28="Hito","◆","■"),"")</x:f>
      </x:c>
      <x:c r="M27" s="79" t="str">
        <x:f>IF(AND(M$5&lt;=Cronograma!$G28,M$5+6&gt;=Cronograma!$F28),IF(Cronograma!$D28="Hito","◆","■"),"")</x:f>
      </x:c>
      <x:c r="N27" s="79" t="str">
        <x:f>IF(AND(N$5&lt;=Cronograma!$G28,N$5+6&gt;=Cronograma!$F28),IF(Cronograma!$D28="Hito","◆","■"),"")</x:f>
      </x:c>
      <x:c r="O27" s="79" t="str">
        <x:f>IF(AND(O$5&lt;=Cronograma!$G28,O$5+6&gt;=Cronograma!$F28),IF(Cronograma!$D28="Hito","◆","■"),"")</x:f>
      </x:c>
      <x:c r="P27" s="79" t="str">
        <x:f>IF(AND(P$5&lt;=Cronograma!$G28,P$5+6&gt;=Cronograma!$F28),IF(Cronograma!$D28="Hito","◆","■"),"")</x:f>
      </x:c>
      <x:c r="Q27" s="79" t="str">
        <x:f>IF(AND(Q$5&lt;=Cronograma!$G28,Q$5+6&gt;=Cronograma!$F28),IF(Cronograma!$D28="Hito","◆","■"),"")</x:f>
      </x:c>
      <x:c r="R27" s="79" t="str">
        <x:f>IF(AND(R$5&lt;=Cronograma!$G28,R$5+6&gt;=Cronograma!$F28),IF(Cronograma!$D28="Hito","◆","■"),"")</x:f>
      </x:c>
      <x:c r="S27" s="79" t="str">
        <x:f>IF(AND(S$5&lt;=Cronograma!$G28,S$5+6&gt;=Cronograma!$F28),IF(Cronograma!$D28="Hito","◆","■"),"")</x:f>
      </x:c>
      <x:c r="T27" s="79" t="str">
        <x:f>IF(AND(T$5&lt;=Cronograma!$G28,T$5+6&gt;=Cronograma!$F28),IF(Cronograma!$D28="Hito","◆","■"),"")</x:f>
      </x:c>
      <x:c r="U27" s="79" t="str">
        <x:f>IF(AND(U$5&lt;=Cronograma!$G28,U$5+6&gt;=Cronograma!$F28),IF(Cronograma!$D28="Hito","◆","■"),"")</x:f>
      </x:c>
      <x:c r="V27" s="79" t="str">
        <x:f>IF(AND(V$5&lt;=Cronograma!$G28,V$5+6&gt;=Cronograma!$F28),IF(Cronograma!$D28="Hito","◆","■"),"")</x:f>
      </x:c>
      <x:c r="W27" s="79" t="str">
        <x:f>IF(AND(W$5&lt;=Cronograma!$G28,W$5+6&gt;=Cronograma!$F28),IF(Cronograma!$D28="Hito","◆","■"),"")</x:f>
      </x:c>
      <x:c r="X27" s="79" t="str">
        <x:f>IF(AND(X$5&lt;=Cronograma!$G28,X$5+6&gt;=Cronograma!$F28),IF(Cronograma!$D28="Hito","◆","■"),"")</x:f>
        <x:v>■</x:v>
      </x:c>
      <x:c r="Y27" s="79" t="str">
        <x:f>IF(AND(Y$5&lt;=Cronograma!$G28,Y$5+6&gt;=Cronograma!$F28),IF(Cronograma!$D28="Hito","◆","■"),"")</x:f>
        <x:v>■</x:v>
      </x:c>
      <x:c r="Z27" s="79" t="str">
        <x:f>IF(AND(Z$5&lt;=Cronograma!$G28,Z$5+6&gt;=Cronograma!$F28),IF(Cronograma!$D28="Hito","◆","■"),"")</x:f>
        <x:v>■</x:v>
      </x:c>
      <x:c r="AA27" s="79" t="str">
        <x:f>IF(AND(AA$5&lt;=Cronograma!$G28,AA$5+6&gt;=Cronograma!$F28),IF(Cronograma!$D28="Hito","◆","■"),"")</x:f>
        <x:v>■</x:v>
      </x:c>
      <x:c r="AB27" s="79" t="str">
        <x:f>IF(AND(AB$5&lt;=Cronograma!$G28,AB$5+6&gt;=Cronograma!$F28),IF(Cronograma!$D28="Hito","◆","■"),"")</x:f>
      </x:c>
      <x:c r="AC27" s="79" t="str">
        <x:f>IF(AND(AC$5&lt;=Cronograma!$G28,AC$5+6&gt;=Cronograma!$F28),IF(Cronograma!$D28="Hito","◆","■"),"")</x:f>
      </x:c>
      <x:c r="AD27" s="79" t="str">
        <x:f>IF(AND(AD$5&lt;=Cronograma!$G28,AD$5+6&gt;=Cronograma!$F28),IF(Cronograma!$D28="Hito","◆","■"),"")</x:f>
      </x:c>
      <x:c r="AE27" s="79" t="str">
        <x:f>IF(AND(AE$5&lt;=Cronograma!$G28,AE$5+6&gt;=Cronograma!$F28),IF(Cronograma!$D28="Hito","◆","■"),"")</x:f>
      </x:c>
      <x:c r="AF27" s="79" t="str">
        <x:f>IF(AND(AF$5&lt;=Cronograma!$G28,AF$5+6&gt;=Cronograma!$F28),IF(Cronograma!$D28="Hito","◆","■"),"")</x:f>
      </x:c>
      <x:c r="AG27" s="79" t="str">
        <x:f>IF(AND(AG$5&lt;=Cronograma!$G28,AG$5+6&gt;=Cronograma!$F28),IF(Cronograma!$D28="Hito","◆","■"),"")</x:f>
      </x:c>
      <x:c r="AH27" s="79" t="str">
        <x:f>IF(AND(AH$5&lt;=Cronograma!$G28,AH$5+6&gt;=Cronograma!$F28),IF(Cronograma!$D28="Hito","◆","■"),"")</x:f>
      </x:c>
      <x:c r="AI27" s="79" t="str">
        <x:f>IF(AND(AI$5&lt;=Cronograma!$G28,AI$5+6&gt;=Cronograma!$F28),IF(Cronograma!$D28="Hito","◆","■"),"")</x:f>
      </x:c>
      <x:c r="AJ27" s="79" t="str">
        <x:f>IF(AND(AJ$5&lt;=Cronograma!$G28,AJ$5+6&gt;=Cronograma!$F28),IF(Cronograma!$D28="Hito","◆","■"),"")</x:f>
      </x:c>
      <x:c r="AK27" s="79" t="str">
        <x:f>IF(AND(AK$5&lt;=Cronograma!$G28,AK$5+6&gt;=Cronograma!$F28),IF(Cronograma!$D28="Hito","◆","■"),"")</x:f>
      </x:c>
      <x:c r="AL27" s="79" t="str">
        <x:f>IF(AND(AL$5&lt;=Cronograma!$G28,AL$5+6&gt;=Cronograma!$F28),IF(Cronograma!$D28="Hito","◆","■"),"")</x:f>
      </x:c>
      <x:c r="AM27" s="79" t="str">
        <x:f>IF(AND(AM$5&lt;=Cronograma!$G28,AM$5+6&gt;=Cronograma!$F28),IF(Cronograma!$D28="Hito","◆","■"),"")</x:f>
      </x:c>
      <x:c r="AN27" s="79" t="str">
        <x:f>IF(AND(AN$5&lt;=Cronograma!$G28,AN$5+6&gt;=Cronograma!$F28),IF(Cronograma!$D28="Hito","◆","■"),"")</x:f>
      </x:c>
      <x:c r="AO27" s="79" t="str">
        <x:f>IF(AND(AO$5&lt;=Cronograma!$G28,AO$5+6&gt;=Cronograma!$F28),IF(Cronograma!$D28="Hito","◆","■"),"")</x:f>
      </x:c>
      <x:c r="AP27" s="79" t="str">
        <x:f>IF(AND(AP$5&lt;=Cronograma!$G28,AP$5+6&gt;=Cronograma!$F28),IF(Cronograma!$D28="Hito","◆","■"),"")</x:f>
      </x:c>
      <x:c r="AQ27" s="79" t="str">
        <x:f>IF(AND(AQ$5&lt;=Cronograma!$G28,AQ$5+6&gt;=Cronograma!$F28),IF(Cronograma!$D28="Hito","◆","■"),"")</x:f>
      </x:c>
      <x:c r="AR27" s="79" t="str">
        <x:f>IF(AND(AR$5&lt;=Cronograma!$G28,AR$5+6&gt;=Cronograma!$F28),IF(Cronograma!$D28="Hito","◆","■"),"")</x:f>
      </x:c>
    </x:row>
    <x:row r="28" ht="25" customHeight="1">
      <x:c r="A28" s="76" t="str">
        <x:f>Cronograma!A29</x:f>
        <x:v>CO-07</x:v>
      </x:c>
      <x:c r="B28" s="76" t="str">
        <x:f>Cronograma!B29</x:f>
        <x:v>Construcción</x:v>
      </x:c>
      <x:c r="C28" s="76" t="str">
        <x:f>Cronograma!C29</x:f>
        <x:v>Diseño de formularios</x:v>
      </x:c>
      <x:c r="D28" s="77" t="n">
        <x:f>Cronograma!F29</x:f>
        <x:v>46314</x:v>
      </x:c>
      <x:c r="E28" s="77" t="n">
        <x:f>Cronograma!G29</x:f>
        <x:v>46416</x:v>
      </x:c>
      <x:c r="F28" s="78" t="n">
        <x:f>Cronograma!H29</x:f>
        <x:v>103</x:v>
      </x:c>
      <x:c r="G28" s="79" t="str">
        <x:f>IF(AND(G$5&lt;=Cronograma!$G29,G$5+6&gt;=Cronograma!$F29),IF(Cronograma!$D29="Hito","◆","■"),"")</x:f>
      </x:c>
      <x:c r="H28" s="79" t="str">
        <x:f>IF(AND(H$5&lt;=Cronograma!$G29,H$5+6&gt;=Cronograma!$F29),IF(Cronograma!$D29="Hito","◆","■"),"")</x:f>
      </x:c>
      <x:c r="I28" s="79" t="str">
        <x:f>IF(AND(I$5&lt;=Cronograma!$G29,I$5+6&gt;=Cronograma!$F29),IF(Cronograma!$D29="Hito","◆","■"),"")</x:f>
      </x:c>
      <x:c r="J28" s="79" t="str">
        <x:f>IF(AND(J$5&lt;=Cronograma!$G29,J$5+6&gt;=Cronograma!$F29),IF(Cronograma!$D29="Hito","◆","■"),"")</x:f>
      </x:c>
      <x:c r="K28" s="79" t="str">
        <x:f>IF(AND(K$5&lt;=Cronograma!$G29,K$5+6&gt;=Cronograma!$F29),IF(Cronograma!$D29="Hito","◆","■"),"")</x:f>
      </x:c>
      <x:c r="L28" s="79" t="str">
        <x:f>IF(AND(L$5&lt;=Cronograma!$G29,L$5+6&gt;=Cronograma!$F29),IF(Cronograma!$D29="Hito","◆","■"),"")</x:f>
      </x:c>
      <x:c r="M28" s="79" t="str">
        <x:f>IF(AND(M$5&lt;=Cronograma!$G29,M$5+6&gt;=Cronograma!$F29),IF(Cronograma!$D29="Hito","◆","■"),"")</x:f>
        <x:v>■</x:v>
      </x:c>
      <x:c r="N28" s="79" t="str">
        <x:f>IF(AND(N$5&lt;=Cronograma!$G29,N$5+6&gt;=Cronograma!$F29),IF(Cronograma!$D29="Hito","◆","■"),"")</x:f>
        <x:v>■</x:v>
      </x:c>
      <x:c r="O28" s="79" t="str">
        <x:f>IF(AND(O$5&lt;=Cronograma!$G29,O$5+6&gt;=Cronograma!$F29),IF(Cronograma!$D29="Hito","◆","■"),"")</x:f>
        <x:v>■</x:v>
      </x:c>
      <x:c r="P28" s="79" t="str">
        <x:f>IF(AND(P$5&lt;=Cronograma!$G29,P$5+6&gt;=Cronograma!$F29),IF(Cronograma!$D29="Hito","◆","■"),"")</x:f>
        <x:v>■</x:v>
      </x:c>
      <x:c r="Q28" s="79" t="str">
        <x:f>IF(AND(Q$5&lt;=Cronograma!$G29,Q$5+6&gt;=Cronograma!$F29),IF(Cronograma!$D29="Hito","◆","■"),"")</x:f>
        <x:v>■</x:v>
      </x:c>
      <x:c r="R28" s="79" t="str">
        <x:f>IF(AND(R$5&lt;=Cronograma!$G29,R$5+6&gt;=Cronograma!$F29),IF(Cronograma!$D29="Hito","◆","■"),"")</x:f>
        <x:v>■</x:v>
      </x:c>
      <x:c r="S28" s="79" t="str">
        <x:f>IF(AND(S$5&lt;=Cronograma!$G29,S$5+6&gt;=Cronograma!$F29),IF(Cronograma!$D29="Hito","◆","■"),"")</x:f>
        <x:v>■</x:v>
      </x:c>
      <x:c r="T28" s="79" t="str">
        <x:f>IF(AND(T$5&lt;=Cronograma!$G29,T$5+6&gt;=Cronograma!$F29),IF(Cronograma!$D29="Hito","◆","■"),"")</x:f>
        <x:v>■</x:v>
      </x:c>
      <x:c r="U28" s="79" t="str">
        <x:f>IF(AND(U$5&lt;=Cronograma!$G29,U$5+6&gt;=Cronograma!$F29),IF(Cronograma!$D29="Hito","◆","■"),"")</x:f>
        <x:v>■</x:v>
      </x:c>
      <x:c r="V28" s="79" t="str">
        <x:f>IF(AND(V$5&lt;=Cronograma!$G29,V$5+6&gt;=Cronograma!$F29),IF(Cronograma!$D29="Hito","◆","■"),"")</x:f>
        <x:v>■</x:v>
      </x:c>
      <x:c r="W28" s="79" t="str">
        <x:f>IF(AND(W$5&lt;=Cronograma!$G29,W$5+6&gt;=Cronograma!$F29),IF(Cronograma!$D29="Hito","◆","■"),"")</x:f>
        <x:v>■</x:v>
      </x:c>
      <x:c r="X28" s="79" t="str">
        <x:f>IF(AND(X$5&lt;=Cronograma!$G29,X$5+6&gt;=Cronograma!$F29),IF(Cronograma!$D29="Hito","◆","■"),"")</x:f>
        <x:v>■</x:v>
      </x:c>
      <x:c r="Y28" s="79" t="str">
        <x:f>IF(AND(Y$5&lt;=Cronograma!$G29,Y$5+6&gt;=Cronograma!$F29),IF(Cronograma!$D29="Hito","◆","■"),"")</x:f>
        <x:v>■</x:v>
      </x:c>
      <x:c r="Z28" s="79" t="str">
        <x:f>IF(AND(Z$5&lt;=Cronograma!$G29,Z$5+6&gt;=Cronograma!$F29),IF(Cronograma!$D29="Hito","◆","■"),"")</x:f>
        <x:v>■</x:v>
      </x:c>
      <x:c r="AA28" s="79" t="str">
        <x:f>IF(AND(AA$5&lt;=Cronograma!$G29,AA$5+6&gt;=Cronograma!$F29),IF(Cronograma!$D29="Hito","◆","■"),"")</x:f>
        <x:v>■</x:v>
      </x:c>
      <x:c r="AB28" s="79" t="str">
        <x:f>IF(AND(AB$5&lt;=Cronograma!$G29,AB$5+6&gt;=Cronograma!$F29),IF(Cronograma!$D29="Hito","◆","■"),"")</x:f>
      </x:c>
      <x:c r="AC28" s="79" t="str">
        <x:f>IF(AND(AC$5&lt;=Cronograma!$G29,AC$5+6&gt;=Cronograma!$F29),IF(Cronograma!$D29="Hito","◆","■"),"")</x:f>
      </x:c>
      <x:c r="AD28" s="79" t="str">
        <x:f>IF(AND(AD$5&lt;=Cronograma!$G29,AD$5+6&gt;=Cronograma!$F29),IF(Cronograma!$D29="Hito","◆","■"),"")</x:f>
      </x:c>
      <x:c r="AE28" s="79" t="str">
        <x:f>IF(AND(AE$5&lt;=Cronograma!$G29,AE$5+6&gt;=Cronograma!$F29),IF(Cronograma!$D29="Hito","◆","■"),"")</x:f>
      </x:c>
      <x:c r="AF28" s="79" t="str">
        <x:f>IF(AND(AF$5&lt;=Cronograma!$G29,AF$5+6&gt;=Cronograma!$F29),IF(Cronograma!$D29="Hito","◆","■"),"")</x:f>
      </x:c>
      <x:c r="AG28" s="79" t="str">
        <x:f>IF(AND(AG$5&lt;=Cronograma!$G29,AG$5+6&gt;=Cronograma!$F29),IF(Cronograma!$D29="Hito","◆","■"),"")</x:f>
      </x:c>
      <x:c r="AH28" s="79" t="str">
        <x:f>IF(AND(AH$5&lt;=Cronograma!$G29,AH$5+6&gt;=Cronograma!$F29),IF(Cronograma!$D29="Hito","◆","■"),"")</x:f>
      </x:c>
      <x:c r="AI28" s="79" t="str">
        <x:f>IF(AND(AI$5&lt;=Cronograma!$G29,AI$5+6&gt;=Cronograma!$F29),IF(Cronograma!$D29="Hito","◆","■"),"")</x:f>
      </x:c>
      <x:c r="AJ28" s="79" t="str">
        <x:f>IF(AND(AJ$5&lt;=Cronograma!$G29,AJ$5+6&gt;=Cronograma!$F29),IF(Cronograma!$D29="Hito","◆","■"),"")</x:f>
      </x:c>
      <x:c r="AK28" s="79" t="str">
        <x:f>IF(AND(AK$5&lt;=Cronograma!$G29,AK$5+6&gt;=Cronograma!$F29),IF(Cronograma!$D29="Hito","◆","■"),"")</x:f>
      </x:c>
      <x:c r="AL28" s="79" t="str">
        <x:f>IF(AND(AL$5&lt;=Cronograma!$G29,AL$5+6&gt;=Cronograma!$F29),IF(Cronograma!$D29="Hito","◆","■"),"")</x:f>
      </x:c>
      <x:c r="AM28" s="79" t="str">
        <x:f>IF(AND(AM$5&lt;=Cronograma!$G29,AM$5+6&gt;=Cronograma!$F29),IF(Cronograma!$D29="Hito","◆","■"),"")</x:f>
      </x:c>
      <x:c r="AN28" s="79" t="str">
        <x:f>IF(AND(AN$5&lt;=Cronograma!$G29,AN$5+6&gt;=Cronograma!$F29),IF(Cronograma!$D29="Hito","◆","■"),"")</x:f>
      </x:c>
      <x:c r="AO28" s="79" t="str">
        <x:f>IF(AND(AO$5&lt;=Cronograma!$G29,AO$5+6&gt;=Cronograma!$F29),IF(Cronograma!$D29="Hito","◆","■"),"")</x:f>
      </x:c>
      <x:c r="AP28" s="79" t="str">
        <x:f>IF(AND(AP$5&lt;=Cronograma!$G29,AP$5+6&gt;=Cronograma!$F29),IF(Cronograma!$D29="Hito","◆","■"),"")</x:f>
      </x:c>
      <x:c r="AQ28" s="79" t="str">
        <x:f>IF(AND(AQ$5&lt;=Cronograma!$G29,AQ$5+6&gt;=Cronograma!$F29),IF(Cronograma!$D29="Hito","◆","■"),"")</x:f>
      </x:c>
      <x:c r="AR28" s="79" t="str">
        <x:f>IF(AND(AR$5&lt;=Cronograma!$G29,AR$5+6&gt;=Cronograma!$F29),IF(Cronograma!$D29="Hito","◆","■"),"")</x:f>
      </x:c>
    </x:row>
    <x:row r="29" ht="25" customHeight="1">
      <x:c r="A29" s="76" t="str">
        <x:f>Cronograma!A30</x:f>
        <x:v>CO-08</x:v>
      </x:c>
      <x:c r="B29" s="76" t="str">
        <x:f>Cronograma!B30</x:f>
        <x:v>Construcción</x:v>
      </x:c>
      <x:c r="C29" s="76" t="str">
        <x:f>Cronograma!C30</x:f>
        <x:v>Construcciòn de APIs</x:v>
      </x:c>
      <x:c r="D29" s="77" t="n">
        <x:f>Cronograma!F30</x:f>
        <x:v>46314</x:v>
      </x:c>
      <x:c r="E29" s="77" t="n">
        <x:f>Cronograma!G30</x:f>
        <x:v>46416</x:v>
      </x:c>
      <x:c r="F29" s="78" t="n">
        <x:f>Cronograma!H30</x:f>
        <x:v>103</x:v>
      </x:c>
      <x:c r="G29" s="79" t="str">
        <x:f>IF(AND(G$5&lt;=Cronograma!$G30,G$5+6&gt;=Cronograma!$F30),IF(Cronograma!$D30="Hito","◆","■"),"")</x:f>
      </x:c>
      <x:c r="H29" s="79" t="str">
        <x:f>IF(AND(H$5&lt;=Cronograma!$G30,H$5+6&gt;=Cronograma!$F30),IF(Cronograma!$D30="Hito","◆","■"),"")</x:f>
      </x:c>
      <x:c r="I29" s="79" t="str">
        <x:f>IF(AND(I$5&lt;=Cronograma!$G30,I$5+6&gt;=Cronograma!$F30),IF(Cronograma!$D30="Hito","◆","■"),"")</x:f>
      </x:c>
      <x:c r="J29" s="79" t="str">
        <x:f>IF(AND(J$5&lt;=Cronograma!$G30,J$5+6&gt;=Cronograma!$F30),IF(Cronograma!$D30="Hito","◆","■"),"")</x:f>
      </x:c>
      <x:c r="K29" s="79" t="str">
        <x:f>IF(AND(K$5&lt;=Cronograma!$G30,K$5+6&gt;=Cronograma!$F30),IF(Cronograma!$D30="Hito","◆","■"),"")</x:f>
      </x:c>
      <x:c r="L29" s="79" t="str">
        <x:f>IF(AND(L$5&lt;=Cronograma!$G30,L$5+6&gt;=Cronograma!$F30),IF(Cronograma!$D30="Hito","◆","■"),"")</x:f>
      </x:c>
      <x:c r="M29" s="79" t="str">
        <x:f>IF(AND(M$5&lt;=Cronograma!$G30,M$5+6&gt;=Cronograma!$F30),IF(Cronograma!$D30="Hito","◆","■"),"")</x:f>
        <x:v>■</x:v>
      </x:c>
      <x:c r="N29" s="79" t="str">
        <x:f>IF(AND(N$5&lt;=Cronograma!$G30,N$5+6&gt;=Cronograma!$F30),IF(Cronograma!$D30="Hito","◆","■"),"")</x:f>
        <x:v>■</x:v>
      </x:c>
      <x:c r="O29" s="79" t="str">
        <x:f>IF(AND(O$5&lt;=Cronograma!$G30,O$5+6&gt;=Cronograma!$F30),IF(Cronograma!$D30="Hito","◆","■"),"")</x:f>
        <x:v>■</x:v>
      </x:c>
      <x:c r="P29" s="79" t="str">
        <x:f>IF(AND(P$5&lt;=Cronograma!$G30,P$5+6&gt;=Cronograma!$F30),IF(Cronograma!$D30="Hito","◆","■"),"")</x:f>
        <x:v>■</x:v>
      </x:c>
      <x:c r="Q29" s="79" t="str">
        <x:f>IF(AND(Q$5&lt;=Cronograma!$G30,Q$5+6&gt;=Cronograma!$F30),IF(Cronograma!$D30="Hito","◆","■"),"")</x:f>
        <x:v>■</x:v>
      </x:c>
      <x:c r="R29" s="79" t="str">
        <x:f>IF(AND(R$5&lt;=Cronograma!$G30,R$5+6&gt;=Cronograma!$F30),IF(Cronograma!$D30="Hito","◆","■"),"")</x:f>
        <x:v>■</x:v>
      </x:c>
      <x:c r="S29" s="79" t="str">
        <x:f>IF(AND(S$5&lt;=Cronograma!$G30,S$5+6&gt;=Cronograma!$F30),IF(Cronograma!$D30="Hito","◆","■"),"")</x:f>
        <x:v>■</x:v>
      </x:c>
      <x:c r="T29" s="79" t="str">
        <x:f>IF(AND(T$5&lt;=Cronograma!$G30,T$5+6&gt;=Cronograma!$F30),IF(Cronograma!$D30="Hito","◆","■"),"")</x:f>
        <x:v>■</x:v>
      </x:c>
      <x:c r="U29" s="79" t="str">
        <x:f>IF(AND(U$5&lt;=Cronograma!$G30,U$5+6&gt;=Cronograma!$F30),IF(Cronograma!$D30="Hito","◆","■"),"")</x:f>
        <x:v>■</x:v>
      </x:c>
      <x:c r="V29" s="79" t="str">
        <x:f>IF(AND(V$5&lt;=Cronograma!$G30,V$5+6&gt;=Cronograma!$F30),IF(Cronograma!$D30="Hito","◆","■"),"")</x:f>
        <x:v>■</x:v>
      </x:c>
      <x:c r="W29" s="79" t="str">
        <x:f>IF(AND(W$5&lt;=Cronograma!$G30,W$5+6&gt;=Cronograma!$F30),IF(Cronograma!$D30="Hito","◆","■"),"")</x:f>
        <x:v>■</x:v>
      </x:c>
      <x:c r="X29" s="79" t="str">
        <x:f>IF(AND(X$5&lt;=Cronograma!$G30,X$5+6&gt;=Cronograma!$F30),IF(Cronograma!$D30="Hito","◆","■"),"")</x:f>
        <x:v>■</x:v>
      </x:c>
      <x:c r="Y29" s="79" t="str">
        <x:f>IF(AND(Y$5&lt;=Cronograma!$G30,Y$5+6&gt;=Cronograma!$F30),IF(Cronograma!$D30="Hito","◆","■"),"")</x:f>
        <x:v>■</x:v>
      </x:c>
      <x:c r="Z29" s="79" t="str">
        <x:f>IF(AND(Z$5&lt;=Cronograma!$G30,Z$5+6&gt;=Cronograma!$F30),IF(Cronograma!$D30="Hito","◆","■"),"")</x:f>
        <x:v>■</x:v>
      </x:c>
      <x:c r="AA29" s="79" t="str">
        <x:f>IF(AND(AA$5&lt;=Cronograma!$G30,AA$5+6&gt;=Cronograma!$F30),IF(Cronograma!$D30="Hito","◆","■"),"")</x:f>
        <x:v>■</x:v>
      </x:c>
      <x:c r="AB29" s="79" t="str">
        <x:f>IF(AND(AB$5&lt;=Cronograma!$G30,AB$5+6&gt;=Cronograma!$F30),IF(Cronograma!$D30="Hito","◆","■"),"")</x:f>
      </x:c>
      <x:c r="AC29" s="79" t="str">
        <x:f>IF(AND(AC$5&lt;=Cronograma!$G30,AC$5+6&gt;=Cronograma!$F30),IF(Cronograma!$D30="Hito","◆","■"),"")</x:f>
      </x:c>
      <x:c r="AD29" s="79" t="str">
        <x:f>IF(AND(AD$5&lt;=Cronograma!$G30,AD$5+6&gt;=Cronograma!$F30),IF(Cronograma!$D30="Hito","◆","■"),"")</x:f>
      </x:c>
      <x:c r="AE29" s="79" t="str">
        <x:f>IF(AND(AE$5&lt;=Cronograma!$G30,AE$5+6&gt;=Cronograma!$F30),IF(Cronograma!$D30="Hito","◆","■"),"")</x:f>
      </x:c>
      <x:c r="AF29" s="79" t="str">
        <x:f>IF(AND(AF$5&lt;=Cronograma!$G30,AF$5+6&gt;=Cronograma!$F30),IF(Cronograma!$D30="Hito","◆","■"),"")</x:f>
      </x:c>
      <x:c r="AG29" s="79" t="str">
        <x:f>IF(AND(AG$5&lt;=Cronograma!$G30,AG$5+6&gt;=Cronograma!$F30),IF(Cronograma!$D30="Hito","◆","■"),"")</x:f>
      </x:c>
      <x:c r="AH29" s="79" t="str">
        <x:f>IF(AND(AH$5&lt;=Cronograma!$G30,AH$5+6&gt;=Cronograma!$F30),IF(Cronograma!$D30="Hito","◆","■"),"")</x:f>
      </x:c>
      <x:c r="AI29" s="79" t="str">
        <x:f>IF(AND(AI$5&lt;=Cronograma!$G30,AI$5+6&gt;=Cronograma!$F30),IF(Cronograma!$D30="Hito","◆","■"),"")</x:f>
      </x:c>
      <x:c r="AJ29" s="79" t="str">
        <x:f>IF(AND(AJ$5&lt;=Cronograma!$G30,AJ$5+6&gt;=Cronograma!$F30),IF(Cronograma!$D30="Hito","◆","■"),"")</x:f>
      </x:c>
      <x:c r="AK29" s="79" t="str">
        <x:f>IF(AND(AK$5&lt;=Cronograma!$G30,AK$5+6&gt;=Cronograma!$F30),IF(Cronograma!$D30="Hito","◆","■"),"")</x:f>
      </x:c>
      <x:c r="AL29" s="79" t="str">
        <x:f>IF(AND(AL$5&lt;=Cronograma!$G30,AL$5+6&gt;=Cronograma!$F30),IF(Cronograma!$D30="Hito","◆","■"),"")</x:f>
      </x:c>
      <x:c r="AM29" s="79" t="str">
        <x:f>IF(AND(AM$5&lt;=Cronograma!$G30,AM$5+6&gt;=Cronograma!$F30),IF(Cronograma!$D30="Hito","◆","■"),"")</x:f>
      </x:c>
      <x:c r="AN29" s="79" t="str">
        <x:f>IF(AND(AN$5&lt;=Cronograma!$G30,AN$5+6&gt;=Cronograma!$F30),IF(Cronograma!$D30="Hito","◆","■"),"")</x:f>
      </x:c>
      <x:c r="AO29" s="79" t="str">
        <x:f>IF(AND(AO$5&lt;=Cronograma!$G30,AO$5+6&gt;=Cronograma!$F30),IF(Cronograma!$D30="Hito","◆","■"),"")</x:f>
      </x:c>
      <x:c r="AP29" s="79" t="str">
        <x:f>IF(AND(AP$5&lt;=Cronograma!$G30,AP$5+6&gt;=Cronograma!$F30),IF(Cronograma!$D30="Hito","◆","■"),"")</x:f>
      </x:c>
      <x:c r="AQ29" s="79" t="str">
        <x:f>IF(AND(AQ$5&lt;=Cronograma!$G30,AQ$5+6&gt;=Cronograma!$F30),IF(Cronograma!$D30="Hito","◆","■"),"")</x:f>
      </x:c>
      <x:c r="AR29" s="79" t="str">
        <x:f>IF(AND(AR$5&lt;=Cronograma!$G30,AR$5+6&gt;=Cronograma!$F30),IF(Cronograma!$D30="Hito","◆","■"),"")</x:f>
      </x:c>
    </x:row>
    <x:row r="30" ht="25" customHeight="1">
      <x:c r="A30" s="76" t="str">
        <x:f>Cronograma!A31</x:f>
        <x:v>CO-09</x:v>
      </x:c>
      <x:c r="B30" s="76" t="str">
        <x:f>Cronograma!B31</x:f>
        <x:v>Construcción</x:v>
      </x:c>
      <x:c r="C30" s="76" t="str">
        <x:f>Cronograma!C31</x:f>
        <x:v>Construcciòn de reglas de negocio</x:v>
      </x:c>
      <x:c r="D30" s="77" t="n">
        <x:f>Cronograma!F31</x:f>
        <x:v>46314</x:v>
      </x:c>
      <x:c r="E30" s="77" t="n">
        <x:f>Cronograma!G31</x:f>
        <x:v>46416</x:v>
      </x:c>
      <x:c r="F30" s="78" t="n">
        <x:f>Cronograma!H31</x:f>
        <x:v>103</x:v>
      </x:c>
      <x:c r="G30" s="79" t="str">
        <x:f>IF(AND(G$5&lt;=Cronograma!$G31,G$5+6&gt;=Cronograma!$F31),IF(Cronograma!$D31="Hito","◆","■"),"")</x:f>
      </x:c>
      <x:c r="H30" s="79" t="str">
        <x:f>IF(AND(H$5&lt;=Cronograma!$G31,H$5+6&gt;=Cronograma!$F31),IF(Cronograma!$D31="Hito","◆","■"),"")</x:f>
      </x:c>
      <x:c r="I30" s="79" t="str">
        <x:f>IF(AND(I$5&lt;=Cronograma!$G31,I$5+6&gt;=Cronograma!$F31),IF(Cronograma!$D31="Hito","◆","■"),"")</x:f>
      </x:c>
      <x:c r="J30" s="79" t="str">
        <x:f>IF(AND(J$5&lt;=Cronograma!$G31,J$5+6&gt;=Cronograma!$F31),IF(Cronograma!$D31="Hito","◆","■"),"")</x:f>
      </x:c>
      <x:c r="K30" s="79" t="str">
        <x:f>IF(AND(K$5&lt;=Cronograma!$G31,K$5+6&gt;=Cronograma!$F31),IF(Cronograma!$D31="Hito","◆","■"),"")</x:f>
      </x:c>
      <x:c r="L30" s="79" t="str">
        <x:f>IF(AND(L$5&lt;=Cronograma!$G31,L$5+6&gt;=Cronograma!$F31),IF(Cronograma!$D31="Hito","◆","■"),"")</x:f>
      </x:c>
      <x:c r="M30" s="79" t="str">
        <x:f>IF(AND(M$5&lt;=Cronograma!$G31,M$5+6&gt;=Cronograma!$F31),IF(Cronograma!$D31="Hito","◆","■"),"")</x:f>
        <x:v>■</x:v>
      </x:c>
      <x:c r="N30" s="79" t="str">
        <x:f>IF(AND(N$5&lt;=Cronograma!$G31,N$5+6&gt;=Cronograma!$F31),IF(Cronograma!$D31="Hito","◆","■"),"")</x:f>
        <x:v>■</x:v>
      </x:c>
      <x:c r="O30" s="79" t="str">
        <x:f>IF(AND(O$5&lt;=Cronograma!$G31,O$5+6&gt;=Cronograma!$F31),IF(Cronograma!$D31="Hito","◆","■"),"")</x:f>
        <x:v>■</x:v>
      </x:c>
      <x:c r="P30" s="79" t="str">
        <x:f>IF(AND(P$5&lt;=Cronograma!$G31,P$5+6&gt;=Cronograma!$F31),IF(Cronograma!$D31="Hito","◆","■"),"")</x:f>
        <x:v>■</x:v>
      </x:c>
      <x:c r="Q30" s="79" t="str">
        <x:f>IF(AND(Q$5&lt;=Cronograma!$G31,Q$5+6&gt;=Cronograma!$F31),IF(Cronograma!$D31="Hito","◆","■"),"")</x:f>
        <x:v>■</x:v>
      </x:c>
      <x:c r="R30" s="79" t="str">
        <x:f>IF(AND(R$5&lt;=Cronograma!$G31,R$5+6&gt;=Cronograma!$F31),IF(Cronograma!$D31="Hito","◆","■"),"")</x:f>
        <x:v>■</x:v>
      </x:c>
      <x:c r="S30" s="79" t="str">
        <x:f>IF(AND(S$5&lt;=Cronograma!$G31,S$5+6&gt;=Cronograma!$F31),IF(Cronograma!$D31="Hito","◆","■"),"")</x:f>
        <x:v>■</x:v>
      </x:c>
      <x:c r="T30" s="79" t="str">
        <x:f>IF(AND(T$5&lt;=Cronograma!$G31,T$5+6&gt;=Cronograma!$F31),IF(Cronograma!$D31="Hito","◆","■"),"")</x:f>
        <x:v>■</x:v>
      </x:c>
      <x:c r="U30" s="79" t="str">
        <x:f>IF(AND(U$5&lt;=Cronograma!$G31,U$5+6&gt;=Cronograma!$F31),IF(Cronograma!$D31="Hito","◆","■"),"")</x:f>
        <x:v>■</x:v>
      </x:c>
      <x:c r="V30" s="79" t="str">
        <x:f>IF(AND(V$5&lt;=Cronograma!$G31,V$5+6&gt;=Cronograma!$F31),IF(Cronograma!$D31="Hito","◆","■"),"")</x:f>
        <x:v>■</x:v>
      </x:c>
      <x:c r="W30" s="79" t="str">
        <x:f>IF(AND(W$5&lt;=Cronograma!$G31,W$5+6&gt;=Cronograma!$F31),IF(Cronograma!$D31="Hito","◆","■"),"")</x:f>
        <x:v>■</x:v>
      </x:c>
      <x:c r="X30" s="79" t="str">
        <x:f>IF(AND(X$5&lt;=Cronograma!$G31,X$5+6&gt;=Cronograma!$F31),IF(Cronograma!$D31="Hito","◆","■"),"")</x:f>
        <x:v>■</x:v>
      </x:c>
      <x:c r="Y30" s="79" t="str">
        <x:f>IF(AND(Y$5&lt;=Cronograma!$G31,Y$5+6&gt;=Cronograma!$F31),IF(Cronograma!$D31="Hito","◆","■"),"")</x:f>
        <x:v>■</x:v>
      </x:c>
      <x:c r="Z30" s="79" t="str">
        <x:f>IF(AND(Z$5&lt;=Cronograma!$G31,Z$5+6&gt;=Cronograma!$F31),IF(Cronograma!$D31="Hito","◆","■"),"")</x:f>
        <x:v>■</x:v>
      </x:c>
      <x:c r="AA30" s="79" t="str">
        <x:f>IF(AND(AA$5&lt;=Cronograma!$G31,AA$5+6&gt;=Cronograma!$F31),IF(Cronograma!$D31="Hito","◆","■"),"")</x:f>
        <x:v>■</x:v>
      </x:c>
      <x:c r="AB30" s="79" t="str">
        <x:f>IF(AND(AB$5&lt;=Cronograma!$G31,AB$5+6&gt;=Cronograma!$F31),IF(Cronograma!$D31="Hito","◆","■"),"")</x:f>
      </x:c>
      <x:c r="AC30" s="79" t="str">
        <x:f>IF(AND(AC$5&lt;=Cronograma!$G31,AC$5+6&gt;=Cronograma!$F31),IF(Cronograma!$D31="Hito","◆","■"),"")</x:f>
      </x:c>
      <x:c r="AD30" s="79" t="str">
        <x:f>IF(AND(AD$5&lt;=Cronograma!$G31,AD$5+6&gt;=Cronograma!$F31),IF(Cronograma!$D31="Hito","◆","■"),"")</x:f>
      </x:c>
      <x:c r="AE30" s="79" t="str">
        <x:f>IF(AND(AE$5&lt;=Cronograma!$G31,AE$5+6&gt;=Cronograma!$F31),IF(Cronograma!$D31="Hito","◆","■"),"")</x:f>
      </x:c>
      <x:c r="AF30" s="79" t="str">
        <x:f>IF(AND(AF$5&lt;=Cronograma!$G31,AF$5+6&gt;=Cronograma!$F31),IF(Cronograma!$D31="Hito","◆","■"),"")</x:f>
      </x:c>
      <x:c r="AG30" s="79" t="str">
        <x:f>IF(AND(AG$5&lt;=Cronograma!$G31,AG$5+6&gt;=Cronograma!$F31),IF(Cronograma!$D31="Hito","◆","■"),"")</x:f>
      </x:c>
      <x:c r="AH30" s="79" t="str">
        <x:f>IF(AND(AH$5&lt;=Cronograma!$G31,AH$5+6&gt;=Cronograma!$F31),IF(Cronograma!$D31="Hito","◆","■"),"")</x:f>
      </x:c>
      <x:c r="AI30" s="79" t="str">
        <x:f>IF(AND(AI$5&lt;=Cronograma!$G31,AI$5+6&gt;=Cronograma!$F31),IF(Cronograma!$D31="Hito","◆","■"),"")</x:f>
      </x:c>
      <x:c r="AJ30" s="79" t="str">
        <x:f>IF(AND(AJ$5&lt;=Cronograma!$G31,AJ$5+6&gt;=Cronograma!$F31),IF(Cronograma!$D31="Hito","◆","■"),"")</x:f>
      </x:c>
      <x:c r="AK30" s="79" t="str">
        <x:f>IF(AND(AK$5&lt;=Cronograma!$G31,AK$5+6&gt;=Cronograma!$F31),IF(Cronograma!$D31="Hito","◆","■"),"")</x:f>
      </x:c>
      <x:c r="AL30" s="79" t="str">
        <x:f>IF(AND(AL$5&lt;=Cronograma!$G31,AL$5+6&gt;=Cronograma!$F31),IF(Cronograma!$D31="Hito","◆","■"),"")</x:f>
      </x:c>
      <x:c r="AM30" s="79" t="str">
        <x:f>IF(AND(AM$5&lt;=Cronograma!$G31,AM$5+6&gt;=Cronograma!$F31),IF(Cronograma!$D31="Hito","◆","■"),"")</x:f>
      </x:c>
      <x:c r="AN30" s="79" t="str">
        <x:f>IF(AND(AN$5&lt;=Cronograma!$G31,AN$5+6&gt;=Cronograma!$F31),IF(Cronograma!$D31="Hito","◆","■"),"")</x:f>
      </x:c>
      <x:c r="AO30" s="79" t="str">
        <x:f>IF(AND(AO$5&lt;=Cronograma!$G31,AO$5+6&gt;=Cronograma!$F31),IF(Cronograma!$D31="Hito","◆","■"),"")</x:f>
      </x:c>
      <x:c r="AP30" s="79" t="str">
        <x:f>IF(AND(AP$5&lt;=Cronograma!$G31,AP$5+6&gt;=Cronograma!$F31),IF(Cronograma!$D31="Hito","◆","■"),"")</x:f>
      </x:c>
      <x:c r="AQ30" s="79" t="str">
        <x:f>IF(AND(AQ$5&lt;=Cronograma!$G31,AQ$5+6&gt;=Cronograma!$F31),IF(Cronograma!$D31="Hito","◆","■"),"")</x:f>
      </x:c>
      <x:c r="AR30" s="79" t="str">
        <x:f>IF(AND(AR$5&lt;=Cronograma!$G31,AR$5+6&gt;=Cronograma!$F31),IF(Cronograma!$D31="Hito","◆","■"),"")</x:f>
      </x:c>
    </x:row>
    <x:row r="31" ht="25" customHeight="1">
      <x:c r="A31" s="80" t="str">
        <x:f>Cronograma!A32</x:f>
        <x:v>CO-H3</x:v>
      </x:c>
      <x:c r="B31" s="80" t="str">
        <x:f>Cronograma!B32</x:f>
        <x:v>Construcción</x:v>
      </x:c>
      <x:c r="C31" s="80" t="str">
        <x:f>Cronograma!C32</x:f>
        <x:v>Hito: flujo operacional integrado</x:v>
      </x:c>
      <x:c r="D31" s="81" t="n">
        <x:f>Cronograma!F32</x:f>
        <x:v>46416</x:v>
      </x:c>
      <x:c r="E31" s="81" t="n">
        <x:f>Cronograma!G32</x:f>
        <x:v>46416</x:v>
      </x:c>
      <x:c r="F31" s="82" t="n">
        <x:f>Cronograma!H32</x:f>
        <x:v>1</x:v>
      </x:c>
      <x:c r="G31" s="83" t="str">
        <x:f>IF(AND(G$5&lt;=Cronograma!$G32,G$5+6&gt;=Cronograma!$F32),IF(Cronograma!$D32="Hito","◆","■"),"")</x:f>
      </x:c>
      <x:c r="H31" s="83" t="str">
        <x:f>IF(AND(H$5&lt;=Cronograma!$G32,H$5+6&gt;=Cronograma!$F32),IF(Cronograma!$D32="Hito","◆","■"),"")</x:f>
      </x:c>
      <x:c r="I31" s="83" t="str">
        <x:f>IF(AND(I$5&lt;=Cronograma!$G32,I$5+6&gt;=Cronograma!$F32),IF(Cronograma!$D32="Hito","◆","■"),"")</x:f>
      </x:c>
      <x:c r="J31" s="83" t="str">
        <x:f>IF(AND(J$5&lt;=Cronograma!$G32,J$5+6&gt;=Cronograma!$F32),IF(Cronograma!$D32="Hito","◆","■"),"")</x:f>
      </x:c>
      <x:c r="K31" s="83" t="str">
        <x:f>IF(AND(K$5&lt;=Cronograma!$G32,K$5+6&gt;=Cronograma!$F32),IF(Cronograma!$D32="Hito","◆","■"),"")</x:f>
      </x:c>
      <x:c r="L31" s="83" t="str">
        <x:f>IF(AND(L$5&lt;=Cronograma!$G32,L$5+6&gt;=Cronograma!$F32),IF(Cronograma!$D32="Hito","◆","■"),"")</x:f>
      </x:c>
      <x:c r="M31" s="83" t="str">
        <x:f>IF(AND(M$5&lt;=Cronograma!$G32,M$5+6&gt;=Cronograma!$F32),IF(Cronograma!$D32="Hito","◆","■"),"")</x:f>
      </x:c>
      <x:c r="N31" s="83" t="str">
        <x:f>IF(AND(N$5&lt;=Cronograma!$G32,N$5+6&gt;=Cronograma!$F32),IF(Cronograma!$D32="Hito","◆","■"),"")</x:f>
      </x:c>
      <x:c r="O31" s="83" t="str">
        <x:f>IF(AND(O$5&lt;=Cronograma!$G32,O$5+6&gt;=Cronograma!$F32),IF(Cronograma!$D32="Hito","◆","■"),"")</x:f>
      </x:c>
      <x:c r="P31" s="83" t="str">
        <x:f>IF(AND(P$5&lt;=Cronograma!$G32,P$5+6&gt;=Cronograma!$F32),IF(Cronograma!$D32="Hito","◆","■"),"")</x:f>
      </x:c>
      <x:c r="Q31" s="83" t="str">
        <x:f>IF(AND(Q$5&lt;=Cronograma!$G32,Q$5+6&gt;=Cronograma!$F32),IF(Cronograma!$D32="Hito","◆","■"),"")</x:f>
      </x:c>
      <x:c r="R31" s="83" t="str">
        <x:f>IF(AND(R$5&lt;=Cronograma!$G32,R$5+6&gt;=Cronograma!$F32),IF(Cronograma!$D32="Hito","◆","■"),"")</x:f>
      </x:c>
      <x:c r="S31" s="83" t="str">
        <x:f>IF(AND(S$5&lt;=Cronograma!$G32,S$5+6&gt;=Cronograma!$F32),IF(Cronograma!$D32="Hito","◆","■"),"")</x:f>
      </x:c>
      <x:c r="T31" s="83" t="str">
        <x:f>IF(AND(T$5&lt;=Cronograma!$G32,T$5+6&gt;=Cronograma!$F32),IF(Cronograma!$D32="Hito","◆","■"),"")</x:f>
      </x:c>
      <x:c r="U31" s="83" t="str">
        <x:f>IF(AND(U$5&lt;=Cronograma!$G32,U$5+6&gt;=Cronograma!$F32),IF(Cronograma!$D32="Hito","◆","■"),"")</x:f>
      </x:c>
      <x:c r="V31" s="83" t="str">
        <x:f>IF(AND(V$5&lt;=Cronograma!$G32,V$5+6&gt;=Cronograma!$F32),IF(Cronograma!$D32="Hito","◆","■"),"")</x:f>
      </x:c>
      <x:c r="W31" s="83" t="str">
        <x:f>IF(AND(W$5&lt;=Cronograma!$G32,W$5+6&gt;=Cronograma!$F32),IF(Cronograma!$D32="Hito","◆","■"),"")</x:f>
      </x:c>
      <x:c r="X31" s="83" t="str">
        <x:f>IF(AND(X$5&lt;=Cronograma!$G32,X$5+6&gt;=Cronograma!$F32),IF(Cronograma!$D32="Hito","◆","■"),"")</x:f>
      </x:c>
      <x:c r="Y31" s="83" t="str">
        <x:f>IF(AND(Y$5&lt;=Cronograma!$G32,Y$5+6&gt;=Cronograma!$F32),IF(Cronograma!$D32="Hito","◆","■"),"")</x:f>
      </x:c>
      <x:c r="Z31" s="83" t="str">
        <x:f>IF(AND(Z$5&lt;=Cronograma!$G32,Z$5+6&gt;=Cronograma!$F32),IF(Cronograma!$D32="Hito","◆","■"),"")</x:f>
      </x:c>
      <x:c r="AA31" s="83" t="str">
        <x:f>IF(AND(AA$5&lt;=Cronograma!$G32,AA$5+6&gt;=Cronograma!$F32),IF(Cronograma!$D32="Hito","◆","■"),"")</x:f>
        <x:v>◆</x:v>
      </x:c>
      <x:c r="AB31" s="83" t="str">
        <x:f>IF(AND(AB$5&lt;=Cronograma!$G32,AB$5+6&gt;=Cronograma!$F32),IF(Cronograma!$D32="Hito","◆","■"),"")</x:f>
      </x:c>
      <x:c r="AC31" s="83" t="str">
        <x:f>IF(AND(AC$5&lt;=Cronograma!$G32,AC$5+6&gt;=Cronograma!$F32),IF(Cronograma!$D32="Hito","◆","■"),"")</x:f>
      </x:c>
      <x:c r="AD31" s="83" t="str">
        <x:f>IF(AND(AD$5&lt;=Cronograma!$G32,AD$5+6&gt;=Cronograma!$F32),IF(Cronograma!$D32="Hito","◆","■"),"")</x:f>
      </x:c>
      <x:c r="AE31" s="83" t="str">
        <x:f>IF(AND(AE$5&lt;=Cronograma!$G32,AE$5+6&gt;=Cronograma!$F32),IF(Cronograma!$D32="Hito","◆","■"),"")</x:f>
      </x:c>
      <x:c r="AF31" s="83" t="str">
        <x:f>IF(AND(AF$5&lt;=Cronograma!$G32,AF$5+6&gt;=Cronograma!$F32),IF(Cronograma!$D32="Hito","◆","■"),"")</x:f>
      </x:c>
      <x:c r="AG31" s="83" t="str">
        <x:f>IF(AND(AG$5&lt;=Cronograma!$G32,AG$5+6&gt;=Cronograma!$F32),IF(Cronograma!$D32="Hito","◆","■"),"")</x:f>
      </x:c>
      <x:c r="AH31" s="83" t="str">
        <x:f>IF(AND(AH$5&lt;=Cronograma!$G32,AH$5+6&gt;=Cronograma!$F32),IF(Cronograma!$D32="Hito","◆","■"),"")</x:f>
      </x:c>
      <x:c r="AI31" s="83" t="str">
        <x:f>IF(AND(AI$5&lt;=Cronograma!$G32,AI$5+6&gt;=Cronograma!$F32),IF(Cronograma!$D32="Hito","◆","■"),"")</x:f>
      </x:c>
      <x:c r="AJ31" s="83" t="str">
        <x:f>IF(AND(AJ$5&lt;=Cronograma!$G32,AJ$5+6&gt;=Cronograma!$F32),IF(Cronograma!$D32="Hito","◆","■"),"")</x:f>
      </x:c>
      <x:c r="AK31" s="83" t="str">
        <x:f>IF(AND(AK$5&lt;=Cronograma!$G32,AK$5+6&gt;=Cronograma!$F32),IF(Cronograma!$D32="Hito","◆","■"),"")</x:f>
      </x:c>
      <x:c r="AL31" s="83" t="str">
        <x:f>IF(AND(AL$5&lt;=Cronograma!$G32,AL$5+6&gt;=Cronograma!$F32),IF(Cronograma!$D32="Hito","◆","■"),"")</x:f>
      </x:c>
      <x:c r="AM31" s="83" t="str">
        <x:f>IF(AND(AM$5&lt;=Cronograma!$G32,AM$5+6&gt;=Cronograma!$F32),IF(Cronograma!$D32="Hito","◆","■"),"")</x:f>
      </x:c>
      <x:c r="AN31" s="83" t="str">
        <x:f>IF(AND(AN$5&lt;=Cronograma!$G32,AN$5+6&gt;=Cronograma!$F32),IF(Cronograma!$D32="Hito","◆","■"),"")</x:f>
      </x:c>
      <x:c r="AO31" s="83" t="str">
        <x:f>IF(AND(AO$5&lt;=Cronograma!$G32,AO$5+6&gt;=Cronograma!$F32),IF(Cronograma!$D32="Hito","◆","■"),"")</x:f>
      </x:c>
      <x:c r="AP31" s="83" t="str">
        <x:f>IF(AND(AP$5&lt;=Cronograma!$G32,AP$5+6&gt;=Cronograma!$F32),IF(Cronograma!$D32="Hito","◆","■"),"")</x:f>
      </x:c>
      <x:c r="AQ31" s="83" t="str">
        <x:f>IF(AND(AQ$5&lt;=Cronograma!$G32,AQ$5+6&gt;=Cronograma!$F32),IF(Cronograma!$D32="Hito","◆","■"),"")</x:f>
      </x:c>
      <x:c r="AR31" s="83" t="str">
        <x:f>IF(AND(AR$5&lt;=Cronograma!$G32,AR$5+6&gt;=Cronograma!$F32),IF(Cronograma!$D32="Hito","◆","■"),"")</x:f>
      </x:c>
    </x:row>
    <x:row r="32" ht="25" customHeight="1">
      <x:c r="A32" s="76" t="str">
        <x:f>Cronograma!A33</x:f>
        <x:v>RE-01</x:v>
      </x:c>
      <x:c r="B32" s="76" t="str">
        <x:f>Cronograma!B33</x:f>
        <x:v>Reprtabilidad</x:v>
      </x:c>
      <x:c r="C32" s="76" t="str">
        <x:f>Cronograma!C33</x:f>
        <x:v>Dashboards, reportes y repositorios</x:v>
      </x:c>
      <x:c r="D32" s="77" t="n">
        <x:f>Cronograma!F33</x:f>
        <x:v>46398</x:v>
      </x:c>
      <x:c r="E32" s="77" t="n">
        <x:f>Cronograma!G33</x:f>
        <x:v>46423</x:v>
      </x:c>
      <x:c r="F32" s="78" t="n">
        <x:f>Cronograma!H33</x:f>
        <x:v>26</x:v>
      </x:c>
      <x:c r="G32" s="79" t="str">
        <x:f>IF(AND(G$5&lt;=Cronograma!$G33,G$5+6&gt;=Cronograma!$F33),IF(Cronograma!$D33="Hito","◆","■"),"")</x:f>
      </x:c>
      <x:c r="H32" s="79" t="str">
        <x:f>IF(AND(H$5&lt;=Cronograma!$G33,H$5+6&gt;=Cronograma!$F33),IF(Cronograma!$D33="Hito","◆","■"),"")</x:f>
      </x:c>
      <x:c r="I32" s="79" t="str">
        <x:f>IF(AND(I$5&lt;=Cronograma!$G33,I$5+6&gt;=Cronograma!$F33),IF(Cronograma!$D33="Hito","◆","■"),"")</x:f>
      </x:c>
      <x:c r="J32" s="79" t="str">
        <x:f>IF(AND(J$5&lt;=Cronograma!$G33,J$5+6&gt;=Cronograma!$F33),IF(Cronograma!$D33="Hito","◆","■"),"")</x:f>
      </x:c>
      <x:c r="K32" s="79" t="str">
        <x:f>IF(AND(K$5&lt;=Cronograma!$G33,K$5+6&gt;=Cronograma!$F33),IF(Cronograma!$D33="Hito","◆","■"),"")</x:f>
      </x:c>
      <x:c r="L32" s="79" t="str">
        <x:f>IF(AND(L$5&lt;=Cronograma!$G33,L$5+6&gt;=Cronograma!$F33),IF(Cronograma!$D33="Hito","◆","■"),"")</x:f>
      </x:c>
      <x:c r="M32" s="79" t="str">
        <x:f>IF(AND(M$5&lt;=Cronograma!$G33,M$5+6&gt;=Cronograma!$F33),IF(Cronograma!$D33="Hito","◆","■"),"")</x:f>
      </x:c>
      <x:c r="N32" s="79" t="str">
        <x:f>IF(AND(N$5&lt;=Cronograma!$G33,N$5+6&gt;=Cronograma!$F33),IF(Cronograma!$D33="Hito","◆","■"),"")</x:f>
      </x:c>
      <x:c r="O32" s="79" t="str">
        <x:f>IF(AND(O$5&lt;=Cronograma!$G33,O$5+6&gt;=Cronograma!$F33),IF(Cronograma!$D33="Hito","◆","■"),"")</x:f>
      </x:c>
      <x:c r="P32" s="79" t="str">
        <x:f>IF(AND(P$5&lt;=Cronograma!$G33,P$5+6&gt;=Cronograma!$F33),IF(Cronograma!$D33="Hito","◆","■"),"")</x:f>
      </x:c>
      <x:c r="Q32" s="79" t="str">
        <x:f>IF(AND(Q$5&lt;=Cronograma!$G33,Q$5+6&gt;=Cronograma!$F33),IF(Cronograma!$D33="Hito","◆","■"),"")</x:f>
      </x:c>
      <x:c r="R32" s="79" t="str">
        <x:f>IF(AND(R$5&lt;=Cronograma!$G33,R$5+6&gt;=Cronograma!$F33),IF(Cronograma!$D33="Hito","◆","■"),"")</x:f>
      </x:c>
      <x:c r="S32" s="79" t="str">
        <x:f>IF(AND(S$5&lt;=Cronograma!$G33,S$5+6&gt;=Cronograma!$F33),IF(Cronograma!$D33="Hito","◆","■"),"")</x:f>
      </x:c>
      <x:c r="T32" s="79" t="str">
        <x:f>IF(AND(T$5&lt;=Cronograma!$G33,T$5+6&gt;=Cronograma!$F33),IF(Cronograma!$D33="Hito","◆","■"),"")</x:f>
      </x:c>
      <x:c r="U32" s="79" t="str">
        <x:f>IF(AND(U$5&lt;=Cronograma!$G33,U$5+6&gt;=Cronograma!$F33),IF(Cronograma!$D33="Hito","◆","■"),"")</x:f>
      </x:c>
      <x:c r="V32" s="79" t="str">
        <x:f>IF(AND(V$5&lt;=Cronograma!$G33,V$5+6&gt;=Cronograma!$F33),IF(Cronograma!$D33="Hito","◆","■"),"")</x:f>
      </x:c>
      <x:c r="W32" s="79" t="str">
        <x:f>IF(AND(W$5&lt;=Cronograma!$G33,W$5+6&gt;=Cronograma!$F33),IF(Cronograma!$D33="Hito","◆","■"),"")</x:f>
      </x:c>
      <x:c r="X32" s="79" t="str">
        <x:f>IF(AND(X$5&lt;=Cronograma!$G33,X$5+6&gt;=Cronograma!$F33),IF(Cronograma!$D33="Hito","◆","■"),"")</x:f>
      </x:c>
      <x:c r="Y32" s="79" t="str">
        <x:f>IF(AND(Y$5&lt;=Cronograma!$G33,Y$5+6&gt;=Cronograma!$F33),IF(Cronograma!$D33="Hito","◆","■"),"")</x:f>
        <x:v>■</x:v>
      </x:c>
      <x:c r="Z32" s="79" t="str">
        <x:f>IF(AND(Z$5&lt;=Cronograma!$G33,Z$5+6&gt;=Cronograma!$F33),IF(Cronograma!$D33="Hito","◆","■"),"")</x:f>
        <x:v>■</x:v>
      </x:c>
      <x:c r="AA32" s="79" t="str">
        <x:f>IF(AND(AA$5&lt;=Cronograma!$G33,AA$5+6&gt;=Cronograma!$F33),IF(Cronograma!$D33="Hito","◆","■"),"")</x:f>
        <x:v>■</x:v>
      </x:c>
      <x:c r="AB32" s="79" t="str">
        <x:f>IF(AND(AB$5&lt;=Cronograma!$G33,AB$5+6&gt;=Cronograma!$F33),IF(Cronograma!$D33="Hito","◆","■"),"")</x:f>
        <x:v>■</x:v>
      </x:c>
      <x:c r="AC32" s="79" t="str">
        <x:f>IF(AND(AC$5&lt;=Cronograma!$G33,AC$5+6&gt;=Cronograma!$F33),IF(Cronograma!$D33="Hito","◆","■"),"")</x:f>
      </x:c>
      <x:c r="AD32" s="79" t="str">
        <x:f>IF(AND(AD$5&lt;=Cronograma!$G33,AD$5+6&gt;=Cronograma!$F33),IF(Cronograma!$D33="Hito","◆","■"),"")</x:f>
      </x:c>
      <x:c r="AE32" s="79" t="str">
        <x:f>IF(AND(AE$5&lt;=Cronograma!$G33,AE$5+6&gt;=Cronograma!$F33),IF(Cronograma!$D33="Hito","◆","■"),"")</x:f>
      </x:c>
      <x:c r="AF32" s="79" t="str">
        <x:f>IF(AND(AF$5&lt;=Cronograma!$G33,AF$5+6&gt;=Cronograma!$F33),IF(Cronograma!$D33="Hito","◆","■"),"")</x:f>
      </x:c>
      <x:c r="AG32" s="79" t="str">
        <x:f>IF(AND(AG$5&lt;=Cronograma!$G33,AG$5+6&gt;=Cronograma!$F33),IF(Cronograma!$D33="Hito","◆","■"),"")</x:f>
      </x:c>
      <x:c r="AH32" s="79" t="str">
        <x:f>IF(AND(AH$5&lt;=Cronograma!$G33,AH$5+6&gt;=Cronograma!$F33),IF(Cronograma!$D33="Hito","◆","■"),"")</x:f>
      </x:c>
      <x:c r="AI32" s="79" t="str">
        <x:f>IF(AND(AI$5&lt;=Cronograma!$G33,AI$5+6&gt;=Cronograma!$F33),IF(Cronograma!$D33="Hito","◆","■"),"")</x:f>
      </x:c>
      <x:c r="AJ32" s="79" t="str">
        <x:f>IF(AND(AJ$5&lt;=Cronograma!$G33,AJ$5+6&gt;=Cronograma!$F33),IF(Cronograma!$D33="Hito","◆","■"),"")</x:f>
      </x:c>
      <x:c r="AK32" s="79" t="str">
        <x:f>IF(AND(AK$5&lt;=Cronograma!$G33,AK$5+6&gt;=Cronograma!$F33),IF(Cronograma!$D33="Hito","◆","■"),"")</x:f>
      </x:c>
      <x:c r="AL32" s="79" t="str">
        <x:f>IF(AND(AL$5&lt;=Cronograma!$G33,AL$5+6&gt;=Cronograma!$F33),IF(Cronograma!$D33="Hito","◆","■"),"")</x:f>
      </x:c>
      <x:c r="AM32" s="79" t="str">
        <x:f>IF(AND(AM$5&lt;=Cronograma!$G33,AM$5+6&gt;=Cronograma!$F33),IF(Cronograma!$D33="Hito","◆","■"),"")</x:f>
      </x:c>
      <x:c r="AN32" s="79" t="str">
        <x:f>IF(AND(AN$5&lt;=Cronograma!$G33,AN$5+6&gt;=Cronograma!$F33),IF(Cronograma!$D33="Hito","◆","■"),"")</x:f>
      </x:c>
      <x:c r="AO32" s="79" t="str">
        <x:f>IF(AND(AO$5&lt;=Cronograma!$G33,AO$5+6&gt;=Cronograma!$F33),IF(Cronograma!$D33="Hito","◆","■"),"")</x:f>
      </x:c>
      <x:c r="AP32" s="79" t="str">
        <x:f>IF(AND(AP$5&lt;=Cronograma!$G33,AP$5+6&gt;=Cronograma!$F33),IF(Cronograma!$D33="Hito","◆","■"),"")</x:f>
      </x:c>
      <x:c r="AQ32" s="79" t="str">
        <x:f>IF(AND(AQ$5&lt;=Cronograma!$G33,AQ$5+6&gt;=Cronograma!$F33),IF(Cronograma!$D33="Hito","◆","■"),"")</x:f>
      </x:c>
      <x:c r="AR32" s="79" t="str">
        <x:f>IF(AND(AR$5&lt;=Cronograma!$G33,AR$5+6&gt;=Cronograma!$F33),IF(Cronograma!$D33="Hito","◆","■"),"")</x:f>
      </x:c>
    </x:row>
    <x:row r="33" ht="25" customHeight="1">
      <x:c r="A33" s="80" t="str">
        <x:f>Cronograma!A34</x:f>
        <x:v>RE-H4</x:v>
      </x:c>
      <x:c r="B33" s="80" t="str">
        <x:f>Cronograma!B34</x:f>
        <x:v>Reprtabilidad</x:v>
      </x:c>
      <x:c r="C33" s="80" t="str">
        <x:f>Cronograma!C34</x:f>
        <x:v>Hito: reportabilidad validada</x:v>
      </x:c>
      <x:c r="D33" s="81" t="n">
        <x:f>Cronograma!F34</x:f>
        <x:v>46423</x:v>
      </x:c>
      <x:c r="E33" s="81" t="n">
        <x:f>Cronograma!G34</x:f>
        <x:v>46423</x:v>
      </x:c>
      <x:c r="F33" s="82" t="n">
        <x:f>Cronograma!H34</x:f>
        <x:v>1</x:v>
      </x:c>
      <x:c r="G33" s="83" t="str">
        <x:f>IF(AND(G$5&lt;=Cronograma!$G34,G$5+6&gt;=Cronograma!$F34),IF(Cronograma!$D34="Hito","◆","■"),"")</x:f>
      </x:c>
      <x:c r="H33" s="83" t="str">
        <x:f>IF(AND(H$5&lt;=Cronograma!$G34,H$5+6&gt;=Cronograma!$F34),IF(Cronograma!$D34="Hito","◆","■"),"")</x:f>
      </x:c>
      <x:c r="I33" s="83" t="str">
        <x:f>IF(AND(I$5&lt;=Cronograma!$G34,I$5+6&gt;=Cronograma!$F34),IF(Cronograma!$D34="Hito","◆","■"),"")</x:f>
      </x:c>
      <x:c r="J33" s="83" t="str">
        <x:f>IF(AND(J$5&lt;=Cronograma!$G34,J$5+6&gt;=Cronograma!$F34),IF(Cronograma!$D34="Hito","◆","■"),"")</x:f>
      </x:c>
      <x:c r="K33" s="83" t="str">
        <x:f>IF(AND(K$5&lt;=Cronograma!$G34,K$5+6&gt;=Cronograma!$F34),IF(Cronograma!$D34="Hito","◆","■"),"")</x:f>
      </x:c>
      <x:c r="L33" s="83" t="str">
        <x:f>IF(AND(L$5&lt;=Cronograma!$G34,L$5+6&gt;=Cronograma!$F34),IF(Cronograma!$D34="Hito","◆","■"),"")</x:f>
      </x:c>
      <x:c r="M33" s="83" t="str">
        <x:f>IF(AND(M$5&lt;=Cronograma!$G34,M$5+6&gt;=Cronograma!$F34),IF(Cronograma!$D34="Hito","◆","■"),"")</x:f>
      </x:c>
      <x:c r="N33" s="83" t="str">
        <x:f>IF(AND(N$5&lt;=Cronograma!$G34,N$5+6&gt;=Cronograma!$F34),IF(Cronograma!$D34="Hito","◆","■"),"")</x:f>
      </x:c>
      <x:c r="O33" s="83" t="str">
        <x:f>IF(AND(O$5&lt;=Cronograma!$G34,O$5+6&gt;=Cronograma!$F34),IF(Cronograma!$D34="Hito","◆","■"),"")</x:f>
      </x:c>
      <x:c r="P33" s="83" t="str">
        <x:f>IF(AND(P$5&lt;=Cronograma!$G34,P$5+6&gt;=Cronograma!$F34),IF(Cronograma!$D34="Hito","◆","■"),"")</x:f>
      </x:c>
      <x:c r="Q33" s="83" t="str">
        <x:f>IF(AND(Q$5&lt;=Cronograma!$G34,Q$5+6&gt;=Cronograma!$F34),IF(Cronograma!$D34="Hito","◆","■"),"")</x:f>
      </x:c>
      <x:c r="R33" s="83" t="str">
        <x:f>IF(AND(R$5&lt;=Cronograma!$G34,R$5+6&gt;=Cronograma!$F34),IF(Cronograma!$D34="Hito","◆","■"),"")</x:f>
      </x:c>
      <x:c r="S33" s="83" t="str">
        <x:f>IF(AND(S$5&lt;=Cronograma!$G34,S$5+6&gt;=Cronograma!$F34),IF(Cronograma!$D34="Hito","◆","■"),"")</x:f>
      </x:c>
      <x:c r="T33" s="83" t="str">
        <x:f>IF(AND(T$5&lt;=Cronograma!$G34,T$5+6&gt;=Cronograma!$F34),IF(Cronograma!$D34="Hito","◆","■"),"")</x:f>
      </x:c>
      <x:c r="U33" s="83" t="str">
        <x:f>IF(AND(U$5&lt;=Cronograma!$G34,U$5+6&gt;=Cronograma!$F34),IF(Cronograma!$D34="Hito","◆","■"),"")</x:f>
      </x:c>
      <x:c r="V33" s="83" t="str">
        <x:f>IF(AND(V$5&lt;=Cronograma!$G34,V$5+6&gt;=Cronograma!$F34),IF(Cronograma!$D34="Hito","◆","■"),"")</x:f>
      </x:c>
      <x:c r="W33" s="83" t="str">
        <x:f>IF(AND(W$5&lt;=Cronograma!$G34,W$5+6&gt;=Cronograma!$F34),IF(Cronograma!$D34="Hito","◆","■"),"")</x:f>
      </x:c>
      <x:c r="X33" s="83" t="str">
        <x:f>IF(AND(X$5&lt;=Cronograma!$G34,X$5+6&gt;=Cronograma!$F34),IF(Cronograma!$D34="Hito","◆","■"),"")</x:f>
      </x:c>
      <x:c r="Y33" s="83" t="str">
        <x:f>IF(AND(Y$5&lt;=Cronograma!$G34,Y$5+6&gt;=Cronograma!$F34),IF(Cronograma!$D34="Hito","◆","■"),"")</x:f>
      </x:c>
      <x:c r="Z33" s="83" t="str">
        <x:f>IF(AND(Z$5&lt;=Cronograma!$G34,Z$5+6&gt;=Cronograma!$F34),IF(Cronograma!$D34="Hito","◆","■"),"")</x:f>
      </x:c>
      <x:c r="AA33" s="83" t="str">
        <x:f>IF(AND(AA$5&lt;=Cronograma!$G34,AA$5+6&gt;=Cronograma!$F34),IF(Cronograma!$D34="Hito","◆","■"),"")</x:f>
      </x:c>
      <x:c r="AB33" s="83" t="str">
        <x:f>IF(AND(AB$5&lt;=Cronograma!$G34,AB$5+6&gt;=Cronograma!$F34),IF(Cronograma!$D34="Hito","◆","■"),"")</x:f>
        <x:v>◆</x:v>
      </x:c>
      <x:c r="AC33" s="83" t="str">
        <x:f>IF(AND(AC$5&lt;=Cronograma!$G34,AC$5+6&gt;=Cronograma!$F34),IF(Cronograma!$D34="Hito","◆","■"),"")</x:f>
      </x:c>
      <x:c r="AD33" s="83" t="str">
        <x:f>IF(AND(AD$5&lt;=Cronograma!$G34,AD$5+6&gt;=Cronograma!$F34),IF(Cronograma!$D34="Hito","◆","■"),"")</x:f>
      </x:c>
      <x:c r="AE33" s="83" t="str">
        <x:f>IF(AND(AE$5&lt;=Cronograma!$G34,AE$5+6&gt;=Cronograma!$F34),IF(Cronograma!$D34="Hito","◆","■"),"")</x:f>
      </x:c>
      <x:c r="AF33" s="83" t="str">
        <x:f>IF(AND(AF$5&lt;=Cronograma!$G34,AF$5+6&gt;=Cronograma!$F34),IF(Cronograma!$D34="Hito","◆","■"),"")</x:f>
      </x:c>
      <x:c r="AG33" s="83" t="str">
        <x:f>IF(AND(AG$5&lt;=Cronograma!$G34,AG$5+6&gt;=Cronograma!$F34),IF(Cronograma!$D34="Hito","◆","■"),"")</x:f>
      </x:c>
      <x:c r="AH33" s="83" t="str">
        <x:f>IF(AND(AH$5&lt;=Cronograma!$G34,AH$5+6&gt;=Cronograma!$F34),IF(Cronograma!$D34="Hito","◆","■"),"")</x:f>
      </x:c>
      <x:c r="AI33" s="83" t="str">
        <x:f>IF(AND(AI$5&lt;=Cronograma!$G34,AI$5+6&gt;=Cronograma!$F34),IF(Cronograma!$D34="Hito","◆","■"),"")</x:f>
      </x:c>
      <x:c r="AJ33" s="83" t="str">
        <x:f>IF(AND(AJ$5&lt;=Cronograma!$G34,AJ$5+6&gt;=Cronograma!$F34),IF(Cronograma!$D34="Hito","◆","■"),"")</x:f>
      </x:c>
      <x:c r="AK33" s="83" t="str">
        <x:f>IF(AND(AK$5&lt;=Cronograma!$G34,AK$5+6&gt;=Cronograma!$F34),IF(Cronograma!$D34="Hito","◆","■"),"")</x:f>
      </x:c>
      <x:c r="AL33" s="83" t="str">
        <x:f>IF(AND(AL$5&lt;=Cronograma!$G34,AL$5+6&gt;=Cronograma!$F34),IF(Cronograma!$D34="Hito","◆","■"),"")</x:f>
      </x:c>
      <x:c r="AM33" s="83" t="str">
        <x:f>IF(AND(AM$5&lt;=Cronograma!$G34,AM$5+6&gt;=Cronograma!$F34),IF(Cronograma!$D34="Hito","◆","■"),"")</x:f>
      </x:c>
      <x:c r="AN33" s="83" t="str">
        <x:f>IF(AND(AN$5&lt;=Cronograma!$G34,AN$5+6&gt;=Cronograma!$F34),IF(Cronograma!$D34="Hito","◆","■"),"")</x:f>
      </x:c>
      <x:c r="AO33" s="83" t="str">
        <x:f>IF(AND(AO$5&lt;=Cronograma!$G34,AO$5+6&gt;=Cronograma!$F34),IF(Cronograma!$D34="Hito","◆","■"),"")</x:f>
      </x:c>
      <x:c r="AP33" s="83" t="str">
        <x:f>IF(AND(AP$5&lt;=Cronograma!$G34,AP$5+6&gt;=Cronograma!$F34),IF(Cronograma!$D34="Hito","◆","■"),"")</x:f>
      </x:c>
      <x:c r="AQ33" s="83" t="str">
        <x:f>IF(AND(AQ$5&lt;=Cronograma!$G34,AQ$5+6&gt;=Cronograma!$F34),IF(Cronograma!$D34="Hito","◆","■"),"")</x:f>
      </x:c>
      <x:c r="AR33" s="83" t="str">
        <x:f>IF(AND(AR$5&lt;=Cronograma!$G34,AR$5+6&gt;=Cronograma!$F34),IF(Cronograma!$D34="Hito","◆","■"),"")</x:f>
      </x:c>
    </x:row>
    <x:row r="34" ht="25" customHeight="1">
      <x:c r="A34" s="76" t="str">
        <x:f>Cronograma!A35</x:f>
        <x:v>UA-01</x:v>
      </x:c>
      <x:c r="B34" s="76" t="str">
        <x:f>Cronograma!B35</x:f>
        <x:v>Usuarios y acceso a la plataforma</x:v>
      </x:c>
      <x:c r="C34" s="76" t="str">
        <x:f>Cronograma!C35</x:f>
        <x:v>Definir perfiles, permisos y alcance por componente</x:v>
      </x:c>
      <x:c r="D34" s="77" t="n">
        <x:f>Cronograma!F35</x:f>
        <x:v>46426</x:v>
      </x:c>
      <x:c r="E34" s="77" t="n">
        <x:f>Cronograma!G35</x:f>
        <x:v>46437</x:v>
      </x:c>
      <x:c r="F34" s="78" t="n">
        <x:f>Cronograma!H35</x:f>
        <x:v>12</x:v>
      </x:c>
      <x:c r="G34" s="79" t="str">
        <x:f>IF(AND(G$5&lt;=Cronograma!$G35,G$5+6&gt;=Cronograma!$F35),IF(Cronograma!$D35="Hito","◆","■"),"")</x:f>
      </x:c>
      <x:c r="H34" s="79" t="str">
        <x:f>IF(AND(H$5&lt;=Cronograma!$G35,H$5+6&gt;=Cronograma!$F35),IF(Cronograma!$D35="Hito","◆","■"),"")</x:f>
      </x:c>
      <x:c r="I34" s="79" t="str">
        <x:f>IF(AND(I$5&lt;=Cronograma!$G35,I$5+6&gt;=Cronograma!$F35),IF(Cronograma!$D35="Hito","◆","■"),"")</x:f>
      </x:c>
      <x:c r="J34" s="79" t="str">
        <x:f>IF(AND(J$5&lt;=Cronograma!$G35,J$5+6&gt;=Cronograma!$F35),IF(Cronograma!$D35="Hito","◆","■"),"")</x:f>
      </x:c>
      <x:c r="K34" s="79" t="str">
        <x:f>IF(AND(K$5&lt;=Cronograma!$G35,K$5+6&gt;=Cronograma!$F35),IF(Cronograma!$D35="Hito","◆","■"),"")</x:f>
      </x:c>
      <x:c r="L34" s="79" t="str">
        <x:f>IF(AND(L$5&lt;=Cronograma!$G35,L$5+6&gt;=Cronograma!$F35),IF(Cronograma!$D35="Hito","◆","■"),"")</x:f>
      </x:c>
      <x:c r="M34" s="79" t="str">
        <x:f>IF(AND(M$5&lt;=Cronograma!$G35,M$5+6&gt;=Cronograma!$F35),IF(Cronograma!$D35="Hito","◆","■"),"")</x:f>
      </x:c>
      <x:c r="N34" s="79" t="str">
        <x:f>IF(AND(N$5&lt;=Cronograma!$G35,N$5+6&gt;=Cronograma!$F35),IF(Cronograma!$D35="Hito","◆","■"),"")</x:f>
      </x:c>
      <x:c r="O34" s="79" t="str">
        <x:f>IF(AND(O$5&lt;=Cronograma!$G35,O$5+6&gt;=Cronograma!$F35),IF(Cronograma!$D35="Hito","◆","■"),"")</x:f>
      </x:c>
      <x:c r="P34" s="79" t="str">
        <x:f>IF(AND(P$5&lt;=Cronograma!$G35,P$5+6&gt;=Cronograma!$F35),IF(Cronograma!$D35="Hito","◆","■"),"")</x:f>
      </x:c>
      <x:c r="Q34" s="79" t="str">
        <x:f>IF(AND(Q$5&lt;=Cronograma!$G35,Q$5+6&gt;=Cronograma!$F35),IF(Cronograma!$D35="Hito","◆","■"),"")</x:f>
      </x:c>
      <x:c r="R34" s="79" t="str">
        <x:f>IF(AND(R$5&lt;=Cronograma!$G35,R$5+6&gt;=Cronograma!$F35),IF(Cronograma!$D35="Hito","◆","■"),"")</x:f>
      </x:c>
      <x:c r="S34" s="79" t="str">
        <x:f>IF(AND(S$5&lt;=Cronograma!$G35,S$5+6&gt;=Cronograma!$F35),IF(Cronograma!$D35="Hito","◆","■"),"")</x:f>
      </x:c>
      <x:c r="T34" s="79" t="str">
        <x:f>IF(AND(T$5&lt;=Cronograma!$G35,T$5+6&gt;=Cronograma!$F35),IF(Cronograma!$D35="Hito","◆","■"),"")</x:f>
      </x:c>
      <x:c r="U34" s="79" t="str">
        <x:f>IF(AND(U$5&lt;=Cronograma!$G35,U$5+6&gt;=Cronograma!$F35),IF(Cronograma!$D35="Hito","◆","■"),"")</x:f>
      </x:c>
      <x:c r="V34" s="79" t="str">
        <x:f>IF(AND(V$5&lt;=Cronograma!$G35,V$5+6&gt;=Cronograma!$F35),IF(Cronograma!$D35="Hito","◆","■"),"")</x:f>
      </x:c>
      <x:c r="W34" s="79" t="str">
        <x:f>IF(AND(W$5&lt;=Cronograma!$G35,W$5+6&gt;=Cronograma!$F35),IF(Cronograma!$D35="Hito","◆","■"),"")</x:f>
      </x:c>
      <x:c r="X34" s="79" t="str">
        <x:f>IF(AND(X$5&lt;=Cronograma!$G35,X$5+6&gt;=Cronograma!$F35),IF(Cronograma!$D35="Hito","◆","■"),"")</x:f>
      </x:c>
      <x:c r="Y34" s="79" t="str">
        <x:f>IF(AND(Y$5&lt;=Cronograma!$G35,Y$5+6&gt;=Cronograma!$F35),IF(Cronograma!$D35="Hito","◆","■"),"")</x:f>
      </x:c>
      <x:c r="Z34" s="79" t="str">
        <x:f>IF(AND(Z$5&lt;=Cronograma!$G35,Z$5+6&gt;=Cronograma!$F35),IF(Cronograma!$D35="Hito","◆","■"),"")</x:f>
      </x:c>
      <x:c r="AA34" s="79" t="str">
        <x:f>IF(AND(AA$5&lt;=Cronograma!$G35,AA$5+6&gt;=Cronograma!$F35),IF(Cronograma!$D35="Hito","◆","■"),"")</x:f>
      </x:c>
      <x:c r="AB34" s="79" t="str">
        <x:f>IF(AND(AB$5&lt;=Cronograma!$G35,AB$5+6&gt;=Cronograma!$F35),IF(Cronograma!$D35="Hito","◆","■"),"")</x:f>
      </x:c>
      <x:c r="AC34" s="79" t="str">
        <x:f>IF(AND(AC$5&lt;=Cronograma!$G35,AC$5+6&gt;=Cronograma!$F35),IF(Cronograma!$D35="Hito","◆","■"),"")</x:f>
        <x:v>■</x:v>
      </x:c>
      <x:c r="AD34" s="79" t="str">
        <x:f>IF(AND(AD$5&lt;=Cronograma!$G35,AD$5+6&gt;=Cronograma!$F35),IF(Cronograma!$D35="Hito","◆","■"),"")</x:f>
        <x:v>■</x:v>
      </x:c>
      <x:c r="AE34" s="79" t="str">
        <x:f>IF(AND(AE$5&lt;=Cronograma!$G35,AE$5+6&gt;=Cronograma!$F35),IF(Cronograma!$D35="Hito","◆","■"),"")</x:f>
      </x:c>
      <x:c r="AF34" s="79" t="str">
        <x:f>IF(AND(AF$5&lt;=Cronograma!$G35,AF$5+6&gt;=Cronograma!$F35),IF(Cronograma!$D35="Hito","◆","■"),"")</x:f>
      </x:c>
      <x:c r="AG34" s="79" t="str">
        <x:f>IF(AND(AG$5&lt;=Cronograma!$G35,AG$5+6&gt;=Cronograma!$F35),IF(Cronograma!$D35="Hito","◆","■"),"")</x:f>
      </x:c>
      <x:c r="AH34" s="79" t="str">
        <x:f>IF(AND(AH$5&lt;=Cronograma!$G35,AH$5+6&gt;=Cronograma!$F35),IF(Cronograma!$D35="Hito","◆","■"),"")</x:f>
      </x:c>
      <x:c r="AI34" s="79" t="str">
        <x:f>IF(AND(AI$5&lt;=Cronograma!$G35,AI$5+6&gt;=Cronograma!$F35),IF(Cronograma!$D35="Hito","◆","■"),"")</x:f>
      </x:c>
      <x:c r="AJ34" s="79" t="str">
        <x:f>IF(AND(AJ$5&lt;=Cronograma!$G35,AJ$5+6&gt;=Cronograma!$F35),IF(Cronograma!$D35="Hito","◆","■"),"")</x:f>
      </x:c>
      <x:c r="AK34" s="79" t="str">
        <x:f>IF(AND(AK$5&lt;=Cronograma!$G35,AK$5+6&gt;=Cronograma!$F35),IF(Cronograma!$D35="Hito","◆","■"),"")</x:f>
      </x:c>
      <x:c r="AL34" s="79" t="str">
        <x:f>IF(AND(AL$5&lt;=Cronograma!$G35,AL$5+6&gt;=Cronograma!$F35),IF(Cronograma!$D35="Hito","◆","■"),"")</x:f>
      </x:c>
      <x:c r="AM34" s="79" t="str">
        <x:f>IF(AND(AM$5&lt;=Cronograma!$G35,AM$5+6&gt;=Cronograma!$F35),IF(Cronograma!$D35="Hito","◆","■"),"")</x:f>
      </x:c>
      <x:c r="AN34" s="79" t="str">
        <x:f>IF(AND(AN$5&lt;=Cronograma!$G35,AN$5+6&gt;=Cronograma!$F35),IF(Cronograma!$D35="Hito","◆","■"),"")</x:f>
      </x:c>
      <x:c r="AO34" s="79" t="str">
        <x:f>IF(AND(AO$5&lt;=Cronograma!$G35,AO$5+6&gt;=Cronograma!$F35),IF(Cronograma!$D35="Hito","◆","■"),"")</x:f>
      </x:c>
      <x:c r="AP34" s="79" t="str">
        <x:f>IF(AND(AP$5&lt;=Cronograma!$G35,AP$5+6&gt;=Cronograma!$F35),IF(Cronograma!$D35="Hito","◆","■"),"")</x:f>
      </x:c>
      <x:c r="AQ34" s="79" t="str">
        <x:f>IF(AND(AQ$5&lt;=Cronograma!$G35,AQ$5+6&gt;=Cronograma!$F35),IF(Cronograma!$D35="Hito","◆","■"),"")</x:f>
      </x:c>
      <x:c r="AR34" s="79" t="str">
        <x:f>IF(AND(AR$5&lt;=Cronograma!$G35,AR$5+6&gt;=Cronograma!$F35),IF(Cronograma!$D35="Hito","◆","■"),"")</x:f>
      </x:c>
    </x:row>
    <x:row r="35" ht="25" customHeight="1">
      <x:c r="A35" s="76" t="str">
        <x:f>Cronograma!A36</x:f>
        <x:v>UA-02</x:v>
      </x:c>
      <x:c r="B35" s="76" t="str">
        <x:f>Cronograma!B36</x:f>
        <x:v>Usuarios y acceso a la plataforma</x:v>
      </x:c>
      <x:c r="C35" s="76" t="str">
        <x:f>Cronograma!C36</x:f>
        <x:v>Inicio de sesión, cierre y recuperación de acceso</x:v>
      </x:c>
      <x:c r="D35" s="77" t="n">
        <x:f>Cronograma!F36</x:f>
        <x:v>46440</x:v>
      </x:c>
      <x:c r="E35" s="77" t="n">
        <x:f>Cronograma!G36</x:f>
        <x:v>46458</x:v>
      </x:c>
      <x:c r="F35" s="78" t="n">
        <x:f>Cronograma!H36</x:f>
        <x:v>19</x:v>
      </x:c>
      <x:c r="G35" s="79" t="str">
        <x:f>IF(AND(G$5&lt;=Cronograma!$G36,G$5+6&gt;=Cronograma!$F36),IF(Cronograma!$D36="Hito","◆","■"),"")</x:f>
      </x:c>
      <x:c r="H35" s="79" t="str">
        <x:f>IF(AND(H$5&lt;=Cronograma!$G36,H$5+6&gt;=Cronograma!$F36),IF(Cronograma!$D36="Hito","◆","■"),"")</x:f>
      </x:c>
      <x:c r="I35" s="79" t="str">
        <x:f>IF(AND(I$5&lt;=Cronograma!$G36,I$5+6&gt;=Cronograma!$F36),IF(Cronograma!$D36="Hito","◆","■"),"")</x:f>
      </x:c>
      <x:c r="J35" s="79" t="str">
        <x:f>IF(AND(J$5&lt;=Cronograma!$G36,J$5+6&gt;=Cronograma!$F36),IF(Cronograma!$D36="Hito","◆","■"),"")</x:f>
      </x:c>
      <x:c r="K35" s="79" t="str">
        <x:f>IF(AND(K$5&lt;=Cronograma!$G36,K$5+6&gt;=Cronograma!$F36),IF(Cronograma!$D36="Hito","◆","■"),"")</x:f>
      </x:c>
      <x:c r="L35" s="79" t="str">
        <x:f>IF(AND(L$5&lt;=Cronograma!$G36,L$5+6&gt;=Cronograma!$F36),IF(Cronograma!$D36="Hito","◆","■"),"")</x:f>
      </x:c>
      <x:c r="M35" s="79" t="str">
        <x:f>IF(AND(M$5&lt;=Cronograma!$G36,M$5+6&gt;=Cronograma!$F36),IF(Cronograma!$D36="Hito","◆","■"),"")</x:f>
      </x:c>
      <x:c r="N35" s="79" t="str">
        <x:f>IF(AND(N$5&lt;=Cronograma!$G36,N$5+6&gt;=Cronograma!$F36),IF(Cronograma!$D36="Hito","◆","■"),"")</x:f>
      </x:c>
      <x:c r="O35" s="79" t="str">
        <x:f>IF(AND(O$5&lt;=Cronograma!$G36,O$5+6&gt;=Cronograma!$F36),IF(Cronograma!$D36="Hito","◆","■"),"")</x:f>
      </x:c>
      <x:c r="P35" s="79" t="str">
        <x:f>IF(AND(P$5&lt;=Cronograma!$G36,P$5+6&gt;=Cronograma!$F36),IF(Cronograma!$D36="Hito","◆","■"),"")</x:f>
      </x:c>
      <x:c r="Q35" s="79" t="str">
        <x:f>IF(AND(Q$5&lt;=Cronograma!$G36,Q$5+6&gt;=Cronograma!$F36),IF(Cronograma!$D36="Hito","◆","■"),"")</x:f>
      </x:c>
      <x:c r="R35" s="79" t="str">
        <x:f>IF(AND(R$5&lt;=Cronograma!$G36,R$5+6&gt;=Cronograma!$F36),IF(Cronograma!$D36="Hito","◆","■"),"")</x:f>
      </x:c>
      <x:c r="S35" s="79" t="str">
        <x:f>IF(AND(S$5&lt;=Cronograma!$G36,S$5+6&gt;=Cronograma!$F36),IF(Cronograma!$D36="Hito","◆","■"),"")</x:f>
      </x:c>
      <x:c r="T35" s="79" t="str">
        <x:f>IF(AND(T$5&lt;=Cronograma!$G36,T$5+6&gt;=Cronograma!$F36),IF(Cronograma!$D36="Hito","◆","■"),"")</x:f>
      </x:c>
      <x:c r="U35" s="79" t="str">
        <x:f>IF(AND(U$5&lt;=Cronograma!$G36,U$5+6&gt;=Cronograma!$F36),IF(Cronograma!$D36="Hito","◆","■"),"")</x:f>
      </x:c>
      <x:c r="V35" s="79" t="str">
        <x:f>IF(AND(V$5&lt;=Cronograma!$G36,V$5+6&gt;=Cronograma!$F36),IF(Cronograma!$D36="Hito","◆","■"),"")</x:f>
      </x:c>
      <x:c r="W35" s="79" t="str">
        <x:f>IF(AND(W$5&lt;=Cronograma!$G36,W$5+6&gt;=Cronograma!$F36),IF(Cronograma!$D36="Hito","◆","■"),"")</x:f>
      </x:c>
      <x:c r="X35" s="79" t="str">
        <x:f>IF(AND(X$5&lt;=Cronograma!$G36,X$5+6&gt;=Cronograma!$F36),IF(Cronograma!$D36="Hito","◆","■"),"")</x:f>
      </x:c>
      <x:c r="Y35" s="79" t="str">
        <x:f>IF(AND(Y$5&lt;=Cronograma!$G36,Y$5+6&gt;=Cronograma!$F36),IF(Cronograma!$D36="Hito","◆","■"),"")</x:f>
      </x:c>
      <x:c r="Z35" s="79" t="str">
        <x:f>IF(AND(Z$5&lt;=Cronograma!$G36,Z$5+6&gt;=Cronograma!$F36),IF(Cronograma!$D36="Hito","◆","■"),"")</x:f>
      </x:c>
      <x:c r="AA35" s="79" t="str">
        <x:f>IF(AND(AA$5&lt;=Cronograma!$G36,AA$5+6&gt;=Cronograma!$F36),IF(Cronograma!$D36="Hito","◆","■"),"")</x:f>
      </x:c>
      <x:c r="AB35" s="79" t="str">
        <x:f>IF(AND(AB$5&lt;=Cronograma!$G36,AB$5+6&gt;=Cronograma!$F36),IF(Cronograma!$D36="Hito","◆","■"),"")</x:f>
      </x:c>
      <x:c r="AC35" s="79" t="str">
        <x:f>IF(AND(AC$5&lt;=Cronograma!$G36,AC$5+6&gt;=Cronograma!$F36),IF(Cronograma!$D36="Hito","◆","■"),"")</x:f>
      </x:c>
      <x:c r="AD35" s="79" t="str">
        <x:f>IF(AND(AD$5&lt;=Cronograma!$G36,AD$5+6&gt;=Cronograma!$F36),IF(Cronograma!$D36="Hito","◆","■"),"")</x:f>
      </x:c>
      <x:c r="AE35" s="79" t="str">
        <x:f>IF(AND(AE$5&lt;=Cronograma!$G36,AE$5+6&gt;=Cronograma!$F36),IF(Cronograma!$D36="Hito","◆","■"),"")</x:f>
        <x:v>■</x:v>
      </x:c>
      <x:c r="AF35" s="79" t="str">
        <x:f>IF(AND(AF$5&lt;=Cronograma!$G36,AF$5+6&gt;=Cronograma!$F36),IF(Cronograma!$D36="Hito","◆","■"),"")</x:f>
        <x:v>■</x:v>
      </x:c>
      <x:c r="AG35" s="79" t="str">
        <x:f>IF(AND(AG$5&lt;=Cronograma!$G36,AG$5+6&gt;=Cronograma!$F36),IF(Cronograma!$D36="Hito","◆","■"),"")</x:f>
        <x:v>■</x:v>
      </x:c>
      <x:c r="AH35" s="79" t="str">
        <x:f>IF(AND(AH$5&lt;=Cronograma!$G36,AH$5+6&gt;=Cronograma!$F36),IF(Cronograma!$D36="Hito","◆","■"),"")</x:f>
      </x:c>
      <x:c r="AI35" s="79" t="str">
        <x:f>IF(AND(AI$5&lt;=Cronograma!$G36,AI$5+6&gt;=Cronograma!$F36),IF(Cronograma!$D36="Hito","◆","■"),"")</x:f>
      </x:c>
      <x:c r="AJ35" s="79" t="str">
        <x:f>IF(AND(AJ$5&lt;=Cronograma!$G36,AJ$5+6&gt;=Cronograma!$F36),IF(Cronograma!$D36="Hito","◆","■"),"")</x:f>
      </x:c>
      <x:c r="AK35" s="79" t="str">
        <x:f>IF(AND(AK$5&lt;=Cronograma!$G36,AK$5+6&gt;=Cronograma!$F36),IF(Cronograma!$D36="Hito","◆","■"),"")</x:f>
      </x:c>
      <x:c r="AL35" s="79" t="str">
        <x:f>IF(AND(AL$5&lt;=Cronograma!$G36,AL$5+6&gt;=Cronograma!$F36),IF(Cronograma!$D36="Hito","◆","■"),"")</x:f>
      </x:c>
      <x:c r="AM35" s="79" t="str">
        <x:f>IF(AND(AM$5&lt;=Cronograma!$G36,AM$5+6&gt;=Cronograma!$F36),IF(Cronograma!$D36="Hito","◆","■"),"")</x:f>
      </x:c>
      <x:c r="AN35" s="79" t="str">
        <x:f>IF(AND(AN$5&lt;=Cronograma!$G36,AN$5+6&gt;=Cronograma!$F36),IF(Cronograma!$D36="Hito","◆","■"),"")</x:f>
      </x:c>
      <x:c r="AO35" s="79" t="str">
        <x:f>IF(AND(AO$5&lt;=Cronograma!$G36,AO$5+6&gt;=Cronograma!$F36),IF(Cronograma!$D36="Hito","◆","■"),"")</x:f>
      </x:c>
      <x:c r="AP35" s="79" t="str">
        <x:f>IF(AND(AP$5&lt;=Cronograma!$G36,AP$5+6&gt;=Cronograma!$F36),IF(Cronograma!$D36="Hito","◆","■"),"")</x:f>
      </x:c>
      <x:c r="AQ35" s="79" t="str">
        <x:f>IF(AND(AQ$5&lt;=Cronograma!$G36,AQ$5+6&gt;=Cronograma!$F36),IF(Cronograma!$D36="Hito","◆","■"),"")</x:f>
      </x:c>
      <x:c r="AR35" s="79" t="str">
        <x:f>IF(AND(AR$5&lt;=Cronograma!$G36,AR$5+6&gt;=Cronograma!$F36),IF(Cronograma!$D36="Hito","◆","■"),"")</x:f>
      </x:c>
    </x:row>
    <x:row r="36" ht="25" customHeight="1">
      <x:c r="A36" s="76" t="str">
        <x:f>Cronograma!A37</x:f>
        <x:v>UA-03</x:v>
      </x:c>
      <x:c r="B36" s="76" t="str">
        <x:f>Cronograma!B37</x:f>
        <x:v>Usuarios y acceso a la plataforma</x:v>
      </x:c>
      <x:c r="C36" s="76" t="str">
        <x:f>Cronograma!C37</x:f>
        <x:v>Administración de usuarios y perfiles</x:v>
      </x:c>
      <x:c r="D36" s="77" t="n">
        <x:f>Cronograma!F37</x:f>
        <x:v>46440</x:v>
      </x:c>
      <x:c r="E36" s="77" t="n">
        <x:f>Cronograma!G37</x:f>
        <x:v>46465</x:v>
      </x:c>
      <x:c r="F36" s="78" t="n">
        <x:f>Cronograma!H37</x:f>
        <x:v>26</x:v>
      </x:c>
      <x:c r="G36" s="79" t="str">
        <x:f>IF(AND(G$5&lt;=Cronograma!$G37,G$5+6&gt;=Cronograma!$F37),IF(Cronograma!$D37="Hito","◆","■"),"")</x:f>
      </x:c>
      <x:c r="H36" s="79" t="str">
        <x:f>IF(AND(H$5&lt;=Cronograma!$G37,H$5+6&gt;=Cronograma!$F37),IF(Cronograma!$D37="Hito","◆","■"),"")</x:f>
      </x:c>
      <x:c r="I36" s="79" t="str">
        <x:f>IF(AND(I$5&lt;=Cronograma!$G37,I$5+6&gt;=Cronograma!$F37),IF(Cronograma!$D37="Hito","◆","■"),"")</x:f>
      </x:c>
      <x:c r="J36" s="79" t="str">
        <x:f>IF(AND(J$5&lt;=Cronograma!$G37,J$5+6&gt;=Cronograma!$F37),IF(Cronograma!$D37="Hito","◆","■"),"")</x:f>
      </x:c>
      <x:c r="K36" s="79" t="str">
        <x:f>IF(AND(K$5&lt;=Cronograma!$G37,K$5+6&gt;=Cronograma!$F37),IF(Cronograma!$D37="Hito","◆","■"),"")</x:f>
      </x:c>
      <x:c r="L36" s="79" t="str">
        <x:f>IF(AND(L$5&lt;=Cronograma!$G37,L$5+6&gt;=Cronograma!$F37),IF(Cronograma!$D37="Hito","◆","■"),"")</x:f>
      </x:c>
      <x:c r="M36" s="79" t="str">
        <x:f>IF(AND(M$5&lt;=Cronograma!$G37,M$5+6&gt;=Cronograma!$F37),IF(Cronograma!$D37="Hito","◆","■"),"")</x:f>
      </x:c>
      <x:c r="N36" s="79" t="str">
        <x:f>IF(AND(N$5&lt;=Cronograma!$G37,N$5+6&gt;=Cronograma!$F37),IF(Cronograma!$D37="Hito","◆","■"),"")</x:f>
      </x:c>
      <x:c r="O36" s="79" t="str">
        <x:f>IF(AND(O$5&lt;=Cronograma!$G37,O$5+6&gt;=Cronograma!$F37),IF(Cronograma!$D37="Hito","◆","■"),"")</x:f>
      </x:c>
      <x:c r="P36" s="79" t="str">
        <x:f>IF(AND(P$5&lt;=Cronograma!$G37,P$5+6&gt;=Cronograma!$F37),IF(Cronograma!$D37="Hito","◆","■"),"")</x:f>
      </x:c>
      <x:c r="Q36" s="79" t="str">
        <x:f>IF(AND(Q$5&lt;=Cronograma!$G37,Q$5+6&gt;=Cronograma!$F37),IF(Cronograma!$D37="Hito","◆","■"),"")</x:f>
      </x:c>
      <x:c r="R36" s="79" t="str">
        <x:f>IF(AND(R$5&lt;=Cronograma!$G37,R$5+6&gt;=Cronograma!$F37),IF(Cronograma!$D37="Hito","◆","■"),"")</x:f>
      </x:c>
      <x:c r="S36" s="79" t="str">
        <x:f>IF(AND(S$5&lt;=Cronograma!$G37,S$5+6&gt;=Cronograma!$F37),IF(Cronograma!$D37="Hito","◆","■"),"")</x:f>
      </x:c>
      <x:c r="T36" s="79" t="str">
        <x:f>IF(AND(T$5&lt;=Cronograma!$G37,T$5+6&gt;=Cronograma!$F37),IF(Cronograma!$D37="Hito","◆","■"),"")</x:f>
      </x:c>
      <x:c r="U36" s="79" t="str">
        <x:f>IF(AND(U$5&lt;=Cronograma!$G37,U$5+6&gt;=Cronograma!$F37),IF(Cronograma!$D37="Hito","◆","■"),"")</x:f>
      </x:c>
      <x:c r="V36" s="79" t="str">
        <x:f>IF(AND(V$5&lt;=Cronograma!$G37,V$5+6&gt;=Cronograma!$F37),IF(Cronograma!$D37="Hito","◆","■"),"")</x:f>
      </x:c>
      <x:c r="W36" s="79" t="str">
        <x:f>IF(AND(W$5&lt;=Cronograma!$G37,W$5+6&gt;=Cronograma!$F37),IF(Cronograma!$D37="Hito","◆","■"),"")</x:f>
      </x:c>
      <x:c r="X36" s="79" t="str">
        <x:f>IF(AND(X$5&lt;=Cronograma!$G37,X$5+6&gt;=Cronograma!$F37),IF(Cronograma!$D37="Hito","◆","■"),"")</x:f>
      </x:c>
      <x:c r="Y36" s="79" t="str">
        <x:f>IF(AND(Y$5&lt;=Cronograma!$G37,Y$5+6&gt;=Cronograma!$F37),IF(Cronograma!$D37="Hito","◆","■"),"")</x:f>
      </x:c>
      <x:c r="Z36" s="79" t="str">
        <x:f>IF(AND(Z$5&lt;=Cronograma!$G37,Z$5+6&gt;=Cronograma!$F37),IF(Cronograma!$D37="Hito","◆","■"),"")</x:f>
      </x:c>
      <x:c r="AA36" s="79" t="str">
        <x:f>IF(AND(AA$5&lt;=Cronograma!$G37,AA$5+6&gt;=Cronograma!$F37),IF(Cronograma!$D37="Hito","◆","■"),"")</x:f>
      </x:c>
      <x:c r="AB36" s="79" t="str">
        <x:f>IF(AND(AB$5&lt;=Cronograma!$G37,AB$5+6&gt;=Cronograma!$F37),IF(Cronograma!$D37="Hito","◆","■"),"")</x:f>
      </x:c>
      <x:c r="AC36" s="79" t="str">
        <x:f>IF(AND(AC$5&lt;=Cronograma!$G37,AC$5+6&gt;=Cronograma!$F37),IF(Cronograma!$D37="Hito","◆","■"),"")</x:f>
      </x:c>
      <x:c r="AD36" s="79" t="str">
        <x:f>IF(AND(AD$5&lt;=Cronograma!$G37,AD$5+6&gt;=Cronograma!$F37),IF(Cronograma!$D37="Hito","◆","■"),"")</x:f>
      </x:c>
      <x:c r="AE36" s="79" t="str">
        <x:f>IF(AND(AE$5&lt;=Cronograma!$G37,AE$5+6&gt;=Cronograma!$F37),IF(Cronograma!$D37="Hito","◆","■"),"")</x:f>
        <x:v>■</x:v>
      </x:c>
      <x:c r="AF36" s="79" t="str">
        <x:f>IF(AND(AF$5&lt;=Cronograma!$G37,AF$5+6&gt;=Cronograma!$F37),IF(Cronograma!$D37="Hito","◆","■"),"")</x:f>
        <x:v>■</x:v>
      </x:c>
      <x:c r="AG36" s="79" t="str">
        <x:f>IF(AND(AG$5&lt;=Cronograma!$G37,AG$5+6&gt;=Cronograma!$F37),IF(Cronograma!$D37="Hito","◆","■"),"")</x:f>
        <x:v>■</x:v>
      </x:c>
      <x:c r="AH36" s="79" t="str">
        <x:f>IF(AND(AH$5&lt;=Cronograma!$G37,AH$5+6&gt;=Cronograma!$F37),IF(Cronograma!$D37="Hito","◆","■"),"")</x:f>
        <x:v>■</x:v>
      </x:c>
      <x:c r="AI36" s="79" t="str">
        <x:f>IF(AND(AI$5&lt;=Cronograma!$G37,AI$5+6&gt;=Cronograma!$F37),IF(Cronograma!$D37="Hito","◆","■"),"")</x:f>
      </x:c>
      <x:c r="AJ36" s="79" t="str">
        <x:f>IF(AND(AJ$5&lt;=Cronograma!$G37,AJ$5+6&gt;=Cronograma!$F37),IF(Cronograma!$D37="Hito","◆","■"),"")</x:f>
      </x:c>
      <x:c r="AK36" s="79" t="str">
        <x:f>IF(AND(AK$5&lt;=Cronograma!$G37,AK$5+6&gt;=Cronograma!$F37),IF(Cronograma!$D37="Hito","◆","■"),"")</x:f>
      </x:c>
      <x:c r="AL36" s="79" t="str">
        <x:f>IF(AND(AL$5&lt;=Cronograma!$G37,AL$5+6&gt;=Cronograma!$F37),IF(Cronograma!$D37="Hito","◆","■"),"")</x:f>
      </x:c>
      <x:c r="AM36" s="79" t="str">
        <x:f>IF(AND(AM$5&lt;=Cronograma!$G37,AM$5+6&gt;=Cronograma!$F37),IF(Cronograma!$D37="Hito","◆","■"),"")</x:f>
      </x:c>
      <x:c r="AN36" s="79" t="str">
        <x:f>IF(AND(AN$5&lt;=Cronograma!$G37,AN$5+6&gt;=Cronograma!$F37),IF(Cronograma!$D37="Hito","◆","■"),"")</x:f>
      </x:c>
      <x:c r="AO36" s="79" t="str">
        <x:f>IF(AND(AO$5&lt;=Cronograma!$G37,AO$5+6&gt;=Cronograma!$F37),IF(Cronograma!$D37="Hito","◆","■"),"")</x:f>
      </x:c>
      <x:c r="AP36" s="79" t="str">
        <x:f>IF(AND(AP$5&lt;=Cronograma!$G37,AP$5+6&gt;=Cronograma!$F37),IF(Cronograma!$D37="Hito","◆","■"),"")</x:f>
      </x:c>
      <x:c r="AQ36" s="79" t="str">
        <x:f>IF(AND(AQ$5&lt;=Cronograma!$G37,AQ$5+6&gt;=Cronograma!$F37),IF(Cronograma!$D37="Hito","◆","■"),"")</x:f>
      </x:c>
      <x:c r="AR36" s="79" t="str">
        <x:f>IF(AND(AR$5&lt;=Cronograma!$G37,AR$5+6&gt;=Cronograma!$F37),IF(Cronograma!$D37="Hito","◆","■"),"")</x:f>
      </x:c>
    </x:row>
    <x:row r="37" ht="25" customHeight="1">
      <x:c r="A37" s="80" t="str">
        <x:f>Cronograma!A38</x:f>
        <x:v>UA-H</x:v>
      </x:c>
      <x:c r="B37" s="80" t="str">
        <x:f>Cronograma!B38</x:f>
        <x:v>Usuarios y acceso a la plataforma</x:v>
      </x:c>
      <x:c r="C37" s="80" t="str">
        <x:f>Cronograma!C38</x:f>
        <x:v>Hito: usuarios y acceso transversal operativos</x:v>
      </x:c>
      <x:c r="D37" s="81" t="n">
        <x:f>Cronograma!F38</x:f>
        <x:v>46465</x:v>
      </x:c>
      <x:c r="E37" s="81" t="n">
        <x:f>Cronograma!G38</x:f>
        <x:v>46465</x:v>
      </x:c>
      <x:c r="F37" s="82" t="n">
        <x:f>Cronograma!H38</x:f>
        <x:v>1</x:v>
      </x:c>
      <x:c r="G37" s="83" t="str">
        <x:f>IF(AND(G$5&lt;=Cronograma!$G38,G$5+6&gt;=Cronograma!$F38),IF(Cronograma!$D38="Hito","◆","■"),"")</x:f>
      </x:c>
      <x:c r="H37" s="83" t="str">
        <x:f>IF(AND(H$5&lt;=Cronograma!$G38,H$5+6&gt;=Cronograma!$F38),IF(Cronograma!$D38="Hito","◆","■"),"")</x:f>
      </x:c>
      <x:c r="I37" s="83" t="str">
        <x:f>IF(AND(I$5&lt;=Cronograma!$G38,I$5+6&gt;=Cronograma!$F38),IF(Cronograma!$D38="Hito","◆","■"),"")</x:f>
      </x:c>
      <x:c r="J37" s="83" t="str">
        <x:f>IF(AND(J$5&lt;=Cronograma!$G38,J$5+6&gt;=Cronograma!$F38),IF(Cronograma!$D38="Hito","◆","■"),"")</x:f>
      </x:c>
      <x:c r="K37" s="83" t="str">
        <x:f>IF(AND(K$5&lt;=Cronograma!$G38,K$5+6&gt;=Cronograma!$F38),IF(Cronograma!$D38="Hito","◆","■"),"")</x:f>
      </x:c>
      <x:c r="L37" s="83" t="str">
        <x:f>IF(AND(L$5&lt;=Cronograma!$G38,L$5+6&gt;=Cronograma!$F38),IF(Cronograma!$D38="Hito","◆","■"),"")</x:f>
      </x:c>
      <x:c r="M37" s="83" t="str">
        <x:f>IF(AND(M$5&lt;=Cronograma!$G38,M$5+6&gt;=Cronograma!$F38),IF(Cronograma!$D38="Hito","◆","■"),"")</x:f>
      </x:c>
      <x:c r="N37" s="83" t="str">
        <x:f>IF(AND(N$5&lt;=Cronograma!$G38,N$5+6&gt;=Cronograma!$F38),IF(Cronograma!$D38="Hito","◆","■"),"")</x:f>
      </x:c>
      <x:c r="O37" s="83" t="str">
        <x:f>IF(AND(O$5&lt;=Cronograma!$G38,O$5+6&gt;=Cronograma!$F38),IF(Cronograma!$D38="Hito","◆","■"),"")</x:f>
      </x:c>
      <x:c r="P37" s="83" t="str">
        <x:f>IF(AND(P$5&lt;=Cronograma!$G38,P$5+6&gt;=Cronograma!$F38),IF(Cronograma!$D38="Hito","◆","■"),"")</x:f>
      </x:c>
      <x:c r="Q37" s="83" t="str">
        <x:f>IF(AND(Q$5&lt;=Cronograma!$G38,Q$5+6&gt;=Cronograma!$F38),IF(Cronograma!$D38="Hito","◆","■"),"")</x:f>
      </x:c>
      <x:c r="R37" s="83" t="str">
        <x:f>IF(AND(R$5&lt;=Cronograma!$G38,R$5+6&gt;=Cronograma!$F38),IF(Cronograma!$D38="Hito","◆","■"),"")</x:f>
      </x:c>
      <x:c r="S37" s="83" t="str">
        <x:f>IF(AND(S$5&lt;=Cronograma!$G38,S$5+6&gt;=Cronograma!$F38),IF(Cronograma!$D38="Hito","◆","■"),"")</x:f>
      </x:c>
      <x:c r="T37" s="83" t="str">
        <x:f>IF(AND(T$5&lt;=Cronograma!$G38,T$5+6&gt;=Cronograma!$F38),IF(Cronograma!$D38="Hito","◆","■"),"")</x:f>
      </x:c>
      <x:c r="U37" s="83" t="str">
        <x:f>IF(AND(U$5&lt;=Cronograma!$G38,U$5+6&gt;=Cronograma!$F38),IF(Cronograma!$D38="Hito","◆","■"),"")</x:f>
      </x:c>
      <x:c r="V37" s="83" t="str">
        <x:f>IF(AND(V$5&lt;=Cronograma!$G38,V$5+6&gt;=Cronograma!$F38),IF(Cronograma!$D38="Hito","◆","■"),"")</x:f>
      </x:c>
      <x:c r="W37" s="83" t="str">
        <x:f>IF(AND(W$5&lt;=Cronograma!$G38,W$5+6&gt;=Cronograma!$F38),IF(Cronograma!$D38="Hito","◆","■"),"")</x:f>
      </x:c>
      <x:c r="X37" s="83" t="str">
        <x:f>IF(AND(X$5&lt;=Cronograma!$G38,X$5+6&gt;=Cronograma!$F38),IF(Cronograma!$D38="Hito","◆","■"),"")</x:f>
      </x:c>
      <x:c r="Y37" s="83" t="str">
        <x:f>IF(AND(Y$5&lt;=Cronograma!$G38,Y$5+6&gt;=Cronograma!$F38),IF(Cronograma!$D38="Hito","◆","■"),"")</x:f>
      </x:c>
      <x:c r="Z37" s="83" t="str">
        <x:f>IF(AND(Z$5&lt;=Cronograma!$G38,Z$5+6&gt;=Cronograma!$F38),IF(Cronograma!$D38="Hito","◆","■"),"")</x:f>
      </x:c>
      <x:c r="AA37" s="83" t="str">
        <x:f>IF(AND(AA$5&lt;=Cronograma!$G38,AA$5+6&gt;=Cronograma!$F38),IF(Cronograma!$D38="Hito","◆","■"),"")</x:f>
      </x:c>
      <x:c r="AB37" s="83" t="str">
        <x:f>IF(AND(AB$5&lt;=Cronograma!$G38,AB$5+6&gt;=Cronograma!$F38),IF(Cronograma!$D38="Hito","◆","■"),"")</x:f>
      </x:c>
      <x:c r="AC37" s="83" t="str">
        <x:f>IF(AND(AC$5&lt;=Cronograma!$G38,AC$5+6&gt;=Cronograma!$F38),IF(Cronograma!$D38="Hito","◆","■"),"")</x:f>
      </x:c>
      <x:c r="AD37" s="83" t="str">
        <x:f>IF(AND(AD$5&lt;=Cronograma!$G38,AD$5+6&gt;=Cronograma!$F38),IF(Cronograma!$D38="Hito","◆","■"),"")</x:f>
      </x:c>
      <x:c r="AE37" s="83" t="str">
        <x:f>IF(AND(AE$5&lt;=Cronograma!$G38,AE$5+6&gt;=Cronograma!$F38),IF(Cronograma!$D38="Hito","◆","■"),"")</x:f>
      </x:c>
      <x:c r="AF37" s="83" t="str">
        <x:f>IF(AND(AF$5&lt;=Cronograma!$G38,AF$5+6&gt;=Cronograma!$F38),IF(Cronograma!$D38="Hito","◆","■"),"")</x:f>
      </x:c>
      <x:c r="AG37" s="83" t="str">
        <x:f>IF(AND(AG$5&lt;=Cronograma!$G38,AG$5+6&gt;=Cronograma!$F38),IF(Cronograma!$D38="Hito","◆","■"),"")</x:f>
      </x:c>
      <x:c r="AH37" s="83" t="str">
        <x:f>IF(AND(AH$5&lt;=Cronograma!$G38,AH$5+6&gt;=Cronograma!$F38),IF(Cronograma!$D38="Hito","◆","■"),"")</x:f>
        <x:v>◆</x:v>
      </x:c>
      <x:c r="AI37" s="83" t="str">
        <x:f>IF(AND(AI$5&lt;=Cronograma!$G38,AI$5+6&gt;=Cronograma!$F38),IF(Cronograma!$D38="Hito","◆","■"),"")</x:f>
      </x:c>
      <x:c r="AJ37" s="83" t="str">
        <x:f>IF(AND(AJ$5&lt;=Cronograma!$G38,AJ$5+6&gt;=Cronograma!$F38),IF(Cronograma!$D38="Hito","◆","■"),"")</x:f>
      </x:c>
      <x:c r="AK37" s="83" t="str">
        <x:f>IF(AND(AK$5&lt;=Cronograma!$G38,AK$5+6&gt;=Cronograma!$F38),IF(Cronograma!$D38="Hito","◆","■"),"")</x:f>
      </x:c>
      <x:c r="AL37" s="83" t="str">
        <x:f>IF(AND(AL$5&lt;=Cronograma!$G38,AL$5+6&gt;=Cronograma!$F38),IF(Cronograma!$D38="Hito","◆","■"),"")</x:f>
      </x:c>
      <x:c r="AM37" s="83" t="str">
        <x:f>IF(AND(AM$5&lt;=Cronograma!$G38,AM$5+6&gt;=Cronograma!$F38),IF(Cronograma!$D38="Hito","◆","■"),"")</x:f>
      </x:c>
      <x:c r="AN37" s="83" t="str">
        <x:f>IF(AND(AN$5&lt;=Cronograma!$G38,AN$5+6&gt;=Cronograma!$F38),IF(Cronograma!$D38="Hito","◆","■"),"")</x:f>
      </x:c>
      <x:c r="AO37" s="83" t="str">
        <x:f>IF(AND(AO$5&lt;=Cronograma!$G38,AO$5+6&gt;=Cronograma!$F38),IF(Cronograma!$D38="Hito","◆","■"),"")</x:f>
      </x:c>
      <x:c r="AP37" s="83" t="str">
        <x:f>IF(AND(AP$5&lt;=Cronograma!$G38,AP$5+6&gt;=Cronograma!$F38),IF(Cronograma!$D38="Hito","◆","■"),"")</x:f>
      </x:c>
      <x:c r="AQ37" s="83" t="str">
        <x:f>IF(AND(AQ$5&lt;=Cronograma!$G38,AQ$5+6&gt;=Cronograma!$F38),IF(Cronograma!$D38="Hito","◆","■"),"")</x:f>
      </x:c>
      <x:c r="AR37" s="83" t="str">
        <x:f>IF(AND(AR$5&lt;=Cronograma!$G38,AR$5+6&gt;=Cronograma!$F38),IF(Cronograma!$D38="Hito","◆","■"),"")</x:f>
      </x:c>
    </x:row>
    <x:row r="38" ht="25" customHeight="1">
      <x:c r="A38" s="76" t="str">
        <x:f>Cronograma!A39</x:f>
        <x:v>UA-10</x:v>
      </x:c>
      <x:c r="B38" s="76" t="str">
        <x:f>Cronograma!B39</x:f>
        <x:v>Usuarios y acceso a la plataforma</x:v>
      </x:c>
      <x:c r="C38" s="76" t="str">
        <x:f>Cronograma!C39</x:f>
        <x:v>Asociar perfiles y permisos a Proyecto</x:v>
      </x:c>
      <x:c r="D38" s="77" t="n">
        <x:f>Cronograma!F39</x:f>
        <x:v>46454</x:v>
      </x:c>
      <x:c r="E38" s="77" t="n">
        <x:f>Cronograma!G39</x:f>
        <x:v>46465</x:v>
      </x:c>
      <x:c r="F38" s="78" t="n">
        <x:f>Cronograma!H39</x:f>
        <x:v>12</x:v>
      </x:c>
      <x:c r="G38" s="79" t="str">
        <x:f>IF(AND(G$5&lt;=Cronograma!$G39,G$5+6&gt;=Cronograma!$F39),IF(Cronograma!$D39="Hito","◆","■"),"")</x:f>
      </x:c>
      <x:c r="H38" s="79" t="str">
        <x:f>IF(AND(H$5&lt;=Cronograma!$G39,H$5+6&gt;=Cronograma!$F39),IF(Cronograma!$D39="Hito","◆","■"),"")</x:f>
      </x:c>
      <x:c r="I38" s="79" t="str">
        <x:f>IF(AND(I$5&lt;=Cronograma!$G39,I$5+6&gt;=Cronograma!$F39),IF(Cronograma!$D39="Hito","◆","■"),"")</x:f>
      </x:c>
      <x:c r="J38" s="79" t="str">
        <x:f>IF(AND(J$5&lt;=Cronograma!$G39,J$5+6&gt;=Cronograma!$F39),IF(Cronograma!$D39="Hito","◆","■"),"")</x:f>
      </x:c>
      <x:c r="K38" s="79" t="str">
        <x:f>IF(AND(K$5&lt;=Cronograma!$G39,K$5+6&gt;=Cronograma!$F39),IF(Cronograma!$D39="Hito","◆","■"),"")</x:f>
      </x:c>
      <x:c r="L38" s="79" t="str">
        <x:f>IF(AND(L$5&lt;=Cronograma!$G39,L$5+6&gt;=Cronograma!$F39),IF(Cronograma!$D39="Hito","◆","■"),"")</x:f>
      </x:c>
      <x:c r="M38" s="79" t="str">
        <x:f>IF(AND(M$5&lt;=Cronograma!$G39,M$5+6&gt;=Cronograma!$F39),IF(Cronograma!$D39="Hito","◆","■"),"")</x:f>
      </x:c>
      <x:c r="N38" s="79" t="str">
        <x:f>IF(AND(N$5&lt;=Cronograma!$G39,N$5+6&gt;=Cronograma!$F39),IF(Cronograma!$D39="Hito","◆","■"),"")</x:f>
      </x:c>
      <x:c r="O38" s="79" t="str">
        <x:f>IF(AND(O$5&lt;=Cronograma!$G39,O$5+6&gt;=Cronograma!$F39),IF(Cronograma!$D39="Hito","◆","■"),"")</x:f>
      </x:c>
      <x:c r="P38" s="79" t="str">
        <x:f>IF(AND(P$5&lt;=Cronograma!$G39,P$5+6&gt;=Cronograma!$F39),IF(Cronograma!$D39="Hito","◆","■"),"")</x:f>
      </x:c>
      <x:c r="Q38" s="79" t="str">
        <x:f>IF(AND(Q$5&lt;=Cronograma!$G39,Q$5+6&gt;=Cronograma!$F39),IF(Cronograma!$D39="Hito","◆","■"),"")</x:f>
      </x:c>
      <x:c r="R38" s="79" t="str">
        <x:f>IF(AND(R$5&lt;=Cronograma!$G39,R$5+6&gt;=Cronograma!$F39),IF(Cronograma!$D39="Hito","◆","■"),"")</x:f>
      </x:c>
      <x:c r="S38" s="79" t="str">
        <x:f>IF(AND(S$5&lt;=Cronograma!$G39,S$5+6&gt;=Cronograma!$F39),IF(Cronograma!$D39="Hito","◆","■"),"")</x:f>
      </x:c>
      <x:c r="T38" s="79" t="str">
        <x:f>IF(AND(T$5&lt;=Cronograma!$G39,T$5+6&gt;=Cronograma!$F39),IF(Cronograma!$D39="Hito","◆","■"),"")</x:f>
      </x:c>
      <x:c r="U38" s="79" t="str">
        <x:f>IF(AND(U$5&lt;=Cronograma!$G39,U$5+6&gt;=Cronograma!$F39),IF(Cronograma!$D39="Hito","◆","■"),"")</x:f>
      </x:c>
      <x:c r="V38" s="79" t="str">
        <x:f>IF(AND(V$5&lt;=Cronograma!$G39,V$5+6&gt;=Cronograma!$F39),IF(Cronograma!$D39="Hito","◆","■"),"")</x:f>
      </x:c>
      <x:c r="W38" s="79" t="str">
        <x:f>IF(AND(W$5&lt;=Cronograma!$G39,W$5+6&gt;=Cronograma!$F39),IF(Cronograma!$D39="Hito","◆","■"),"")</x:f>
      </x:c>
      <x:c r="X38" s="79" t="str">
        <x:f>IF(AND(X$5&lt;=Cronograma!$G39,X$5+6&gt;=Cronograma!$F39),IF(Cronograma!$D39="Hito","◆","■"),"")</x:f>
      </x:c>
      <x:c r="Y38" s="79" t="str">
        <x:f>IF(AND(Y$5&lt;=Cronograma!$G39,Y$5+6&gt;=Cronograma!$F39),IF(Cronograma!$D39="Hito","◆","■"),"")</x:f>
      </x:c>
      <x:c r="Z38" s="79" t="str">
        <x:f>IF(AND(Z$5&lt;=Cronograma!$G39,Z$5+6&gt;=Cronograma!$F39),IF(Cronograma!$D39="Hito","◆","■"),"")</x:f>
      </x:c>
      <x:c r="AA38" s="79" t="str">
        <x:f>IF(AND(AA$5&lt;=Cronograma!$G39,AA$5+6&gt;=Cronograma!$F39),IF(Cronograma!$D39="Hito","◆","■"),"")</x:f>
      </x:c>
      <x:c r="AB38" s="79" t="str">
        <x:f>IF(AND(AB$5&lt;=Cronograma!$G39,AB$5+6&gt;=Cronograma!$F39),IF(Cronograma!$D39="Hito","◆","■"),"")</x:f>
      </x:c>
      <x:c r="AC38" s="79" t="str">
        <x:f>IF(AND(AC$5&lt;=Cronograma!$G39,AC$5+6&gt;=Cronograma!$F39),IF(Cronograma!$D39="Hito","◆","■"),"")</x:f>
      </x:c>
      <x:c r="AD38" s="79" t="str">
        <x:f>IF(AND(AD$5&lt;=Cronograma!$G39,AD$5+6&gt;=Cronograma!$F39),IF(Cronograma!$D39="Hito","◆","■"),"")</x:f>
      </x:c>
      <x:c r="AE38" s="79" t="str">
        <x:f>IF(AND(AE$5&lt;=Cronograma!$G39,AE$5+6&gt;=Cronograma!$F39),IF(Cronograma!$D39="Hito","◆","■"),"")</x:f>
      </x:c>
      <x:c r="AF38" s="79" t="str">
        <x:f>IF(AND(AF$5&lt;=Cronograma!$G39,AF$5+6&gt;=Cronograma!$F39),IF(Cronograma!$D39="Hito","◆","■"),"")</x:f>
      </x:c>
      <x:c r="AG38" s="79" t="str">
        <x:f>IF(AND(AG$5&lt;=Cronograma!$G39,AG$5+6&gt;=Cronograma!$F39),IF(Cronograma!$D39="Hito","◆","■"),"")</x:f>
        <x:v>■</x:v>
      </x:c>
      <x:c r="AH38" s="79" t="str">
        <x:f>IF(AND(AH$5&lt;=Cronograma!$G39,AH$5+6&gt;=Cronograma!$F39),IF(Cronograma!$D39="Hito","◆","■"),"")</x:f>
        <x:v>■</x:v>
      </x:c>
      <x:c r="AI38" s="79" t="str">
        <x:f>IF(AND(AI$5&lt;=Cronograma!$G39,AI$5+6&gt;=Cronograma!$F39),IF(Cronograma!$D39="Hito","◆","■"),"")</x:f>
      </x:c>
      <x:c r="AJ38" s="79" t="str">
        <x:f>IF(AND(AJ$5&lt;=Cronograma!$G39,AJ$5+6&gt;=Cronograma!$F39),IF(Cronograma!$D39="Hito","◆","■"),"")</x:f>
      </x:c>
      <x:c r="AK38" s="79" t="str">
        <x:f>IF(AND(AK$5&lt;=Cronograma!$G39,AK$5+6&gt;=Cronograma!$F39),IF(Cronograma!$D39="Hito","◆","■"),"")</x:f>
      </x:c>
      <x:c r="AL38" s="79" t="str">
        <x:f>IF(AND(AL$5&lt;=Cronograma!$G39,AL$5+6&gt;=Cronograma!$F39),IF(Cronograma!$D39="Hito","◆","■"),"")</x:f>
      </x:c>
      <x:c r="AM38" s="79" t="str">
        <x:f>IF(AND(AM$5&lt;=Cronograma!$G39,AM$5+6&gt;=Cronograma!$F39),IF(Cronograma!$D39="Hito","◆","■"),"")</x:f>
      </x:c>
      <x:c r="AN38" s="79" t="str">
        <x:f>IF(AND(AN$5&lt;=Cronograma!$G39,AN$5+6&gt;=Cronograma!$F39),IF(Cronograma!$D39="Hito","◆","■"),"")</x:f>
      </x:c>
      <x:c r="AO38" s="79" t="str">
        <x:f>IF(AND(AO$5&lt;=Cronograma!$G39,AO$5+6&gt;=Cronograma!$F39),IF(Cronograma!$D39="Hito","◆","■"),"")</x:f>
      </x:c>
      <x:c r="AP38" s="79" t="str">
        <x:f>IF(AND(AP$5&lt;=Cronograma!$G39,AP$5+6&gt;=Cronograma!$F39),IF(Cronograma!$D39="Hito","◆","■"),"")</x:f>
      </x:c>
      <x:c r="AQ38" s="79" t="str">
        <x:f>IF(AND(AQ$5&lt;=Cronograma!$G39,AQ$5+6&gt;=Cronograma!$F39),IF(Cronograma!$D39="Hito","◆","■"),"")</x:f>
      </x:c>
      <x:c r="AR38" s="79" t="str">
        <x:f>IF(AND(AR$5&lt;=Cronograma!$G39,AR$5+6&gt;=Cronograma!$F39),IF(Cronograma!$D39="Hito","◆","■"),"")</x:f>
      </x:c>
    </x:row>
    <x:row r="39" ht="25" customHeight="1">
      <x:c r="A39" s="76" t="str">
        <x:f>Cronograma!A40</x:f>
        <x:v>UA-11</x:v>
      </x:c>
      <x:c r="B39" s="76" t="str">
        <x:f>Cronograma!B40</x:f>
        <x:v>Usuarios y acceso a la plataforma</x:v>
      </x:c>
      <x:c r="C39" s="76" t="str">
        <x:f>Cronograma!C40</x:f>
        <x:v>Asociar perfiles y permisos a Activos</x:v>
      </x:c>
      <x:c r="D39" s="77" t="n">
        <x:f>Cronograma!F40</x:f>
        <x:v>46454</x:v>
      </x:c>
      <x:c r="E39" s="77" t="n">
        <x:f>Cronograma!G40</x:f>
        <x:v>46465</x:v>
      </x:c>
      <x:c r="F39" s="78" t="n">
        <x:f>Cronograma!H40</x:f>
        <x:v>12</x:v>
      </x:c>
      <x:c r="G39" s="79" t="str">
        <x:f>IF(AND(G$5&lt;=Cronograma!$G40,G$5+6&gt;=Cronograma!$F40),IF(Cronograma!$D40="Hito","◆","■"),"")</x:f>
      </x:c>
      <x:c r="H39" s="79" t="str">
        <x:f>IF(AND(H$5&lt;=Cronograma!$G40,H$5+6&gt;=Cronograma!$F40),IF(Cronograma!$D40="Hito","◆","■"),"")</x:f>
      </x:c>
      <x:c r="I39" s="79" t="str">
        <x:f>IF(AND(I$5&lt;=Cronograma!$G40,I$5+6&gt;=Cronograma!$F40),IF(Cronograma!$D40="Hito","◆","■"),"")</x:f>
      </x:c>
      <x:c r="J39" s="79" t="str">
        <x:f>IF(AND(J$5&lt;=Cronograma!$G40,J$5+6&gt;=Cronograma!$F40),IF(Cronograma!$D40="Hito","◆","■"),"")</x:f>
      </x:c>
      <x:c r="K39" s="79" t="str">
        <x:f>IF(AND(K$5&lt;=Cronograma!$G40,K$5+6&gt;=Cronograma!$F40),IF(Cronograma!$D40="Hito","◆","■"),"")</x:f>
      </x:c>
      <x:c r="L39" s="79" t="str">
        <x:f>IF(AND(L$5&lt;=Cronograma!$G40,L$5+6&gt;=Cronograma!$F40),IF(Cronograma!$D40="Hito","◆","■"),"")</x:f>
      </x:c>
      <x:c r="M39" s="79" t="str">
        <x:f>IF(AND(M$5&lt;=Cronograma!$G40,M$5+6&gt;=Cronograma!$F40),IF(Cronograma!$D40="Hito","◆","■"),"")</x:f>
      </x:c>
      <x:c r="N39" s="79" t="str">
        <x:f>IF(AND(N$5&lt;=Cronograma!$G40,N$5+6&gt;=Cronograma!$F40),IF(Cronograma!$D40="Hito","◆","■"),"")</x:f>
      </x:c>
      <x:c r="O39" s="79" t="str">
        <x:f>IF(AND(O$5&lt;=Cronograma!$G40,O$5+6&gt;=Cronograma!$F40),IF(Cronograma!$D40="Hito","◆","■"),"")</x:f>
      </x:c>
      <x:c r="P39" s="79" t="str">
        <x:f>IF(AND(P$5&lt;=Cronograma!$G40,P$5+6&gt;=Cronograma!$F40),IF(Cronograma!$D40="Hito","◆","■"),"")</x:f>
      </x:c>
      <x:c r="Q39" s="79" t="str">
        <x:f>IF(AND(Q$5&lt;=Cronograma!$G40,Q$5+6&gt;=Cronograma!$F40),IF(Cronograma!$D40="Hito","◆","■"),"")</x:f>
      </x:c>
      <x:c r="R39" s="79" t="str">
        <x:f>IF(AND(R$5&lt;=Cronograma!$G40,R$5+6&gt;=Cronograma!$F40),IF(Cronograma!$D40="Hito","◆","■"),"")</x:f>
      </x:c>
      <x:c r="S39" s="79" t="str">
        <x:f>IF(AND(S$5&lt;=Cronograma!$G40,S$5+6&gt;=Cronograma!$F40),IF(Cronograma!$D40="Hito","◆","■"),"")</x:f>
      </x:c>
      <x:c r="T39" s="79" t="str">
        <x:f>IF(AND(T$5&lt;=Cronograma!$G40,T$5+6&gt;=Cronograma!$F40),IF(Cronograma!$D40="Hito","◆","■"),"")</x:f>
      </x:c>
      <x:c r="U39" s="79" t="str">
        <x:f>IF(AND(U$5&lt;=Cronograma!$G40,U$5+6&gt;=Cronograma!$F40),IF(Cronograma!$D40="Hito","◆","■"),"")</x:f>
      </x:c>
      <x:c r="V39" s="79" t="str">
        <x:f>IF(AND(V$5&lt;=Cronograma!$G40,V$5+6&gt;=Cronograma!$F40),IF(Cronograma!$D40="Hito","◆","■"),"")</x:f>
      </x:c>
      <x:c r="W39" s="79" t="str">
        <x:f>IF(AND(W$5&lt;=Cronograma!$G40,W$5+6&gt;=Cronograma!$F40),IF(Cronograma!$D40="Hito","◆","■"),"")</x:f>
      </x:c>
      <x:c r="X39" s="79" t="str">
        <x:f>IF(AND(X$5&lt;=Cronograma!$G40,X$5+6&gt;=Cronograma!$F40),IF(Cronograma!$D40="Hito","◆","■"),"")</x:f>
      </x:c>
      <x:c r="Y39" s="79" t="str">
        <x:f>IF(AND(Y$5&lt;=Cronograma!$G40,Y$5+6&gt;=Cronograma!$F40),IF(Cronograma!$D40="Hito","◆","■"),"")</x:f>
      </x:c>
      <x:c r="Z39" s="79" t="str">
        <x:f>IF(AND(Z$5&lt;=Cronograma!$G40,Z$5+6&gt;=Cronograma!$F40),IF(Cronograma!$D40="Hito","◆","■"),"")</x:f>
      </x:c>
      <x:c r="AA39" s="79" t="str">
        <x:f>IF(AND(AA$5&lt;=Cronograma!$G40,AA$5+6&gt;=Cronograma!$F40),IF(Cronograma!$D40="Hito","◆","■"),"")</x:f>
      </x:c>
      <x:c r="AB39" s="79" t="str">
        <x:f>IF(AND(AB$5&lt;=Cronograma!$G40,AB$5+6&gt;=Cronograma!$F40),IF(Cronograma!$D40="Hito","◆","■"),"")</x:f>
      </x:c>
      <x:c r="AC39" s="79" t="str">
        <x:f>IF(AND(AC$5&lt;=Cronograma!$G40,AC$5+6&gt;=Cronograma!$F40),IF(Cronograma!$D40="Hito","◆","■"),"")</x:f>
      </x:c>
      <x:c r="AD39" s="79" t="str">
        <x:f>IF(AND(AD$5&lt;=Cronograma!$G40,AD$5+6&gt;=Cronograma!$F40),IF(Cronograma!$D40="Hito","◆","■"),"")</x:f>
      </x:c>
      <x:c r="AE39" s="79" t="str">
        <x:f>IF(AND(AE$5&lt;=Cronograma!$G40,AE$5+6&gt;=Cronograma!$F40),IF(Cronograma!$D40="Hito","◆","■"),"")</x:f>
      </x:c>
      <x:c r="AF39" s="79" t="str">
        <x:f>IF(AND(AF$5&lt;=Cronograma!$G40,AF$5+6&gt;=Cronograma!$F40),IF(Cronograma!$D40="Hito","◆","■"),"")</x:f>
      </x:c>
      <x:c r="AG39" s="79" t="str">
        <x:f>IF(AND(AG$5&lt;=Cronograma!$G40,AG$5+6&gt;=Cronograma!$F40),IF(Cronograma!$D40="Hito","◆","■"),"")</x:f>
        <x:v>■</x:v>
      </x:c>
      <x:c r="AH39" s="79" t="str">
        <x:f>IF(AND(AH$5&lt;=Cronograma!$G40,AH$5+6&gt;=Cronograma!$F40),IF(Cronograma!$D40="Hito","◆","■"),"")</x:f>
        <x:v>■</x:v>
      </x:c>
      <x:c r="AI39" s="79" t="str">
        <x:f>IF(AND(AI$5&lt;=Cronograma!$G40,AI$5+6&gt;=Cronograma!$F40),IF(Cronograma!$D40="Hito","◆","■"),"")</x:f>
      </x:c>
      <x:c r="AJ39" s="79" t="str">
        <x:f>IF(AND(AJ$5&lt;=Cronograma!$G40,AJ$5+6&gt;=Cronograma!$F40),IF(Cronograma!$D40="Hito","◆","■"),"")</x:f>
      </x:c>
      <x:c r="AK39" s="79" t="str">
        <x:f>IF(AND(AK$5&lt;=Cronograma!$G40,AK$5+6&gt;=Cronograma!$F40),IF(Cronograma!$D40="Hito","◆","■"),"")</x:f>
      </x:c>
      <x:c r="AL39" s="79" t="str">
        <x:f>IF(AND(AL$5&lt;=Cronograma!$G40,AL$5+6&gt;=Cronograma!$F40),IF(Cronograma!$D40="Hito","◆","■"),"")</x:f>
      </x:c>
      <x:c r="AM39" s="79" t="str">
        <x:f>IF(AND(AM$5&lt;=Cronograma!$G40,AM$5+6&gt;=Cronograma!$F40),IF(Cronograma!$D40="Hito","◆","■"),"")</x:f>
      </x:c>
      <x:c r="AN39" s="79" t="str">
        <x:f>IF(AND(AN$5&lt;=Cronograma!$G40,AN$5+6&gt;=Cronograma!$F40),IF(Cronograma!$D40="Hito","◆","■"),"")</x:f>
      </x:c>
      <x:c r="AO39" s="79" t="str">
        <x:f>IF(AND(AO$5&lt;=Cronograma!$G40,AO$5+6&gt;=Cronograma!$F40),IF(Cronograma!$D40="Hito","◆","■"),"")</x:f>
      </x:c>
      <x:c r="AP39" s="79" t="str">
        <x:f>IF(AND(AP$5&lt;=Cronograma!$G40,AP$5+6&gt;=Cronograma!$F40),IF(Cronograma!$D40="Hito","◆","■"),"")</x:f>
      </x:c>
      <x:c r="AQ39" s="79" t="str">
        <x:f>IF(AND(AQ$5&lt;=Cronograma!$G40,AQ$5+6&gt;=Cronograma!$F40),IF(Cronograma!$D40="Hito","◆","■"),"")</x:f>
      </x:c>
      <x:c r="AR39" s="79" t="str">
        <x:f>IF(AND(AR$5&lt;=Cronograma!$G40,AR$5+6&gt;=Cronograma!$F40),IF(Cronograma!$D40="Hito","◆","■"),"")</x:f>
      </x:c>
    </x:row>
    <x:row r="40" ht="25" customHeight="1">
      <x:c r="A40" s="76" t="str">
        <x:f>Cronograma!A41</x:f>
        <x:v>UA-12</x:v>
      </x:c>
      <x:c r="B40" s="76" t="str">
        <x:f>Cronograma!B41</x:f>
        <x:v>Usuarios y acceso a la plataforma</x:v>
      </x:c>
      <x:c r="C40" s="76" t="str">
        <x:f>Cronograma!C41</x:f>
        <x:v>Asociar perfiles y permisos a Etapas y Especialidades</x:v>
      </x:c>
      <x:c r="D40" s="77" t="n">
        <x:f>Cronograma!F41</x:f>
        <x:v>46461</x:v>
      </x:c>
      <x:c r="E40" s="77" t="n">
        <x:f>Cronograma!G41</x:f>
        <x:v>46472</x:v>
      </x:c>
      <x:c r="F40" s="78" t="n">
        <x:f>Cronograma!H41</x:f>
        <x:v>12</x:v>
      </x:c>
      <x:c r="G40" s="79" t="str">
        <x:f>IF(AND(G$5&lt;=Cronograma!$G41,G$5+6&gt;=Cronograma!$F41),IF(Cronograma!$D41="Hito","◆","■"),"")</x:f>
      </x:c>
      <x:c r="H40" s="79" t="str">
        <x:f>IF(AND(H$5&lt;=Cronograma!$G41,H$5+6&gt;=Cronograma!$F41),IF(Cronograma!$D41="Hito","◆","■"),"")</x:f>
      </x:c>
      <x:c r="I40" s="79" t="str">
        <x:f>IF(AND(I$5&lt;=Cronograma!$G41,I$5+6&gt;=Cronograma!$F41),IF(Cronograma!$D41="Hito","◆","■"),"")</x:f>
      </x:c>
      <x:c r="J40" s="79" t="str">
        <x:f>IF(AND(J$5&lt;=Cronograma!$G41,J$5+6&gt;=Cronograma!$F41),IF(Cronograma!$D41="Hito","◆","■"),"")</x:f>
      </x:c>
      <x:c r="K40" s="79" t="str">
        <x:f>IF(AND(K$5&lt;=Cronograma!$G41,K$5+6&gt;=Cronograma!$F41),IF(Cronograma!$D41="Hito","◆","■"),"")</x:f>
      </x:c>
      <x:c r="L40" s="79" t="str">
        <x:f>IF(AND(L$5&lt;=Cronograma!$G41,L$5+6&gt;=Cronograma!$F41),IF(Cronograma!$D41="Hito","◆","■"),"")</x:f>
      </x:c>
      <x:c r="M40" s="79" t="str">
        <x:f>IF(AND(M$5&lt;=Cronograma!$G41,M$5+6&gt;=Cronograma!$F41),IF(Cronograma!$D41="Hito","◆","■"),"")</x:f>
      </x:c>
      <x:c r="N40" s="79" t="str">
        <x:f>IF(AND(N$5&lt;=Cronograma!$G41,N$5+6&gt;=Cronograma!$F41),IF(Cronograma!$D41="Hito","◆","■"),"")</x:f>
      </x:c>
      <x:c r="O40" s="79" t="str">
        <x:f>IF(AND(O$5&lt;=Cronograma!$G41,O$5+6&gt;=Cronograma!$F41),IF(Cronograma!$D41="Hito","◆","■"),"")</x:f>
      </x:c>
      <x:c r="P40" s="79" t="str">
        <x:f>IF(AND(P$5&lt;=Cronograma!$G41,P$5+6&gt;=Cronograma!$F41),IF(Cronograma!$D41="Hito","◆","■"),"")</x:f>
      </x:c>
      <x:c r="Q40" s="79" t="str">
        <x:f>IF(AND(Q$5&lt;=Cronograma!$G41,Q$5+6&gt;=Cronograma!$F41),IF(Cronograma!$D41="Hito","◆","■"),"")</x:f>
      </x:c>
      <x:c r="R40" s="79" t="str">
        <x:f>IF(AND(R$5&lt;=Cronograma!$G41,R$5+6&gt;=Cronograma!$F41),IF(Cronograma!$D41="Hito","◆","■"),"")</x:f>
      </x:c>
      <x:c r="S40" s="79" t="str">
        <x:f>IF(AND(S$5&lt;=Cronograma!$G41,S$5+6&gt;=Cronograma!$F41),IF(Cronograma!$D41="Hito","◆","■"),"")</x:f>
      </x:c>
      <x:c r="T40" s="79" t="str">
        <x:f>IF(AND(T$5&lt;=Cronograma!$G41,T$5+6&gt;=Cronograma!$F41),IF(Cronograma!$D41="Hito","◆","■"),"")</x:f>
      </x:c>
      <x:c r="U40" s="79" t="str">
        <x:f>IF(AND(U$5&lt;=Cronograma!$G41,U$5+6&gt;=Cronograma!$F41),IF(Cronograma!$D41="Hito","◆","■"),"")</x:f>
      </x:c>
      <x:c r="V40" s="79" t="str">
        <x:f>IF(AND(V$5&lt;=Cronograma!$G41,V$5+6&gt;=Cronograma!$F41),IF(Cronograma!$D41="Hito","◆","■"),"")</x:f>
      </x:c>
      <x:c r="W40" s="79" t="str">
        <x:f>IF(AND(W$5&lt;=Cronograma!$G41,W$5+6&gt;=Cronograma!$F41),IF(Cronograma!$D41="Hito","◆","■"),"")</x:f>
      </x:c>
      <x:c r="X40" s="79" t="str">
        <x:f>IF(AND(X$5&lt;=Cronograma!$G41,X$5+6&gt;=Cronograma!$F41),IF(Cronograma!$D41="Hito","◆","■"),"")</x:f>
      </x:c>
      <x:c r="Y40" s="79" t="str">
        <x:f>IF(AND(Y$5&lt;=Cronograma!$G41,Y$5+6&gt;=Cronograma!$F41),IF(Cronograma!$D41="Hito","◆","■"),"")</x:f>
      </x:c>
      <x:c r="Z40" s="79" t="str">
        <x:f>IF(AND(Z$5&lt;=Cronograma!$G41,Z$5+6&gt;=Cronograma!$F41),IF(Cronograma!$D41="Hito","◆","■"),"")</x:f>
      </x:c>
      <x:c r="AA40" s="79" t="str">
        <x:f>IF(AND(AA$5&lt;=Cronograma!$G41,AA$5+6&gt;=Cronograma!$F41),IF(Cronograma!$D41="Hito","◆","■"),"")</x:f>
      </x:c>
      <x:c r="AB40" s="79" t="str">
        <x:f>IF(AND(AB$5&lt;=Cronograma!$G41,AB$5+6&gt;=Cronograma!$F41),IF(Cronograma!$D41="Hito","◆","■"),"")</x:f>
      </x:c>
      <x:c r="AC40" s="79" t="str">
        <x:f>IF(AND(AC$5&lt;=Cronograma!$G41,AC$5+6&gt;=Cronograma!$F41),IF(Cronograma!$D41="Hito","◆","■"),"")</x:f>
      </x:c>
      <x:c r="AD40" s="79" t="str">
        <x:f>IF(AND(AD$5&lt;=Cronograma!$G41,AD$5+6&gt;=Cronograma!$F41),IF(Cronograma!$D41="Hito","◆","■"),"")</x:f>
      </x:c>
      <x:c r="AE40" s="79" t="str">
        <x:f>IF(AND(AE$5&lt;=Cronograma!$G41,AE$5+6&gt;=Cronograma!$F41),IF(Cronograma!$D41="Hito","◆","■"),"")</x:f>
      </x:c>
      <x:c r="AF40" s="79" t="str">
        <x:f>IF(AND(AF$5&lt;=Cronograma!$G41,AF$5+6&gt;=Cronograma!$F41),IF(Cronograma!$D41="Hito","◆","■"),"")</x:f>
      </x:c>
      <x:c r="AG40" s="79" t="str">
        <x:f>IF(AND(AG$5&lt;=Cronograma!$G41,AG$5+6&gt;=Cronograma!$F41),IF(Cronograma!$D41="Hito","◆","■"),"")</x:f>
      </x:c>
      <x:c r="AH40" s="79" t="str">
        <x:f>IF(AND(AH$5&lt;=Cronograma!$G41,AH$5+6&gt;=Cronograma!$F41),IF(Cronograma!$D41="Hito","◆","■"),"")</x:f>
        <x:v>■</x:v>
      </x:c>
      <x:c r="AI40" s="79" t="str">
        <x:f>IF(AND(AI$5&lt;=Cronograma!$G41,AI$5+6&gt;=Cronograma!$F41),IF(Cronograma!$D41="Hito","◆","■"),"")</x:f>
        <x:v>■</x:v>
      </x:c>
      <x:c r="AJ40" s="79" t="str">
        <x:f>IF(AND(AJ$5&lt;=Cronograma!$G41,AJ$5+6&gt;=Cronograma!$F41),IF(Cronograma!$D41="Hito","◆","■"),"")</x:f>
      </x:c>
      <x:c r="AK40" s="79" t="str">
        <x:f>IF(AND(AK$5&lt;=Cronograma!$G41,AK$5+6&gt;=Cronograma!$F41),IF(Cronograma!$D41="Hito","◆","■"),"")</x:f>
      </x:c>
      <x:c r="AL40" s="79" t="str">
        <x:f>IF(AND(AL$5&lt;=Cronograma!$G41,AL$5+6&gt;=Cronograma!$F41),IF(Cronograma!$D41="Hito","◆","■"),"")</x:f>
      </x:c>
      <x:c r="AM40" s="79" t="str">
        <x:f>IF(AND(AM$5&lt;=Cronograma!$G41,AM$5+6&gt;=Cronograma!$F41),IF(Cronograma!$D41="Hito","◆","■"),"")</x:f>
      </x:c>
      <x:c r="AN40" s="79" t="str">
        <x:f>IF(AND(AN$5&lt;=Cronograma!$G41,AN$5+6&gt;=Cronograma!$F41),IF(Cronograma!$D41="Hito","◆","■"),"")</x:f>
      </x:c>
      <x:c r="AO40" s="79" t="str">
        <x:f>IF(AND(AO$5&lt;=Cronograma!$G41,AO$5+6&gt;=Cronograma!$F41),IF(Cronograma!$D41="Hito","◆","■"),"")</x:f>
      </x:c>
      <x:c r="AP40" s="79" t="str">
        <x:f>IF(AND(AP$5&lt;=Cronograma!$G41,AP$5+6&gt;=Cronograma!$F41),IF(Cronograma!$D41="Hito","◆","■"),"")</x:f>
      </x:c>
      <x:c r="AQ40" s="79" t="str">
        <x:f>IF(AND(AQ$5&lt;=Cronograma!$G41,AQ$5+6&gt;=Cronograma!$F41),IF(Cronograma!$D41="Hito","◆","■"),"")</x:f>
      </x:c>
      <x:c r="AR40" s="79" t="str">
        <x:f>IF(AND(AR$5&lt;=Cronograma!$G41,AR$5+6&gt;=Cronograma!$F41),IF(Cronograma!$D41="Hito","◆","■"),"")</x:f>
      </x:c>
    </x:row>
    <x:row r="41" ht="25" customHeight="1">
      <x:c r="A41" s="76" t="str">
        <x:f>Cronograma!A42</x:f>
        <x:v>UA-13</x:v>
      </x:c>
      <x:c r="B41" s="76" t="str">
        <x:f>Cronograma!B42</x:f>
        <x:v>Usuarios y acceso a la plataforma</x:v>
      </x:c>
      <x:c r="C41" s="76" t="str">
        <x:f>Cronograma!C42</x:f>
        <x:v>Asociar perfiles y permisos a Puntos de Control y Caminatas</x:v>
      </x:c>
      <x:c r="D41" s="77" t="n">
        <x:f>Cronograma!F42</x:f>
        <x:v>46461</x:v>
      </x:c>
      <x:c r="E41" s="77" t="n">
        <x:f>Cronograma!G42</x:f>
        <x:v>46472</x:v>
      </x:c>
      <x:c r="F41" s="78" t="n">
        <x:f>Cronograma!H42</x:f>
        <x:v>12</x:v>
      </x:c>
      <x:c r="G41" s="79" t="str">
        <x:f>IF(AND(G$5&lt;=Cronograma!$G42,G$5+6&gt;=Cronograma!$F42),IF(Cronograma!$D42="Hito","◆","■"),"")</x:f>
      </x:c>
      <x:c r="H41" s="79" t="str">
        <x:f>IF(AND(H$5&lt;=Cronograma!$G42,H$5+6&gt;=Cronograma!$F42),IF(Cronograma!$D42="Hito","◆","■"),"")</x:f>
      </x:c>
      <x:c r="I41" s="79" t="str">
        <x:f>IF(AND(I$5&lt;=Cronograma!$G42,I$5+6&gt;=Cronograma!$F42),IF(Cronograma!$D42="Hito","◆","■"),"")</x:f>
      </x:c>
      <x:c r="J41" s="79" t="str">
        <x:f>IF(AND(J$5&lt;=Cronograma!$G42,J$5+6&gt;=Cronograma!$F42),IF(Cronograma!$D42="Hito","◆","■"),"")</x:f>
      </x:c>
      <x:c r="K41" s="79" t="str">
        <x:f>IF(AND(K$5&lt;=Cronograma!$G42,K$5+6&gt;=Cronograma!$F42),IF(Cronograma!$D42="Hito","◆","■"),"")</x:f>
      </x:c>
      <x:c r="L41" s="79" t="str">
        <x:f>IF(AND(L$5&lt;=Cronograma!$G42,L$5+6&gt;=Cronograma!$F42),IF(Cronograma!$D42="Hito","◆","■"),"")</x:f>
      </x:c>
      <x:c r="M41" s="79" t="str">
        <x:f>IF(AND(M$5&lt;=Cronograma!$G42,M$5+6&gt;=Cronograma!$F42),IF(Cronograma!$D42="Hito","◆","■"),"")</x:f>
      </x:c>
      <x:c r="N41" s="79" t="str">
        <x:f>IF(AND(N$5&lt;=Cronograma!$G42,N$5+6&gt;=Cronograma!$F42),IF(Cronograma!$D42="Hito","◆","■"),"")</x:f>
      </x:c>
      <x:c r="O41" s="79" t="str">
        <x:f>IF(AND(O$5&lt;=Cronograma!$G42,O$5+6&gt;=Cronograma!$F42),IF(Cronograma!$D42="Hito","◆","■"),"")</x:f>
      </x:c>
      <x:c r="P41" s="79" t="str">
        <x:f>IF(AND(P$5&lt;=Cronograma!$G42,P$5+6&gt;=Cronograma!$F42),IF(Cronograma!$D42="Hito","◆","■"),"")</x:f>
      </x:c>
      <x:c r="Q41" s="79" t="str">
        <x:f>IF(AND(Q$5&lt;=Cronograma!$G42,Q$5+6&gt;=Cronograma!$F42),IF(Cronograma!$D42="Hito","◆","■"),"")</x:f>
      </x:c>
      <x:c r="R41" s="79" t="str">
        <x:f>IF(AND(R$5&lt;=Cronograma!$G42,R$5+6&gt;=Cronograma!$F42),IF(Cronograma!$D42="Hito","◆","■"),"")</x:f>
      </x:c>
      <x:c r="S41" s="79" t="str">
        <x:f>IF(AND(S$5&lt;=Cronograma!$G42,S$5+6&gt;=Cronograma!$F42),IF(Cronograma!$D42="Hito","◆","■"),"")</x:f>
      </x:c>
      <x:c r="T41" s="79" t="str">
        <x:f>IF(AND(T$5&lt;=Cronograma!$G42,T$5+6&gt;=Cronograma!$F42),IF(Cronograma!$D42="Hito","◆","■"),"")</x:f>
      </x:c>
      <x:c r="U41" s="79" t="str">
        <x:f>IF(AND(U$5&lt;=Cronograma!$G42,U$5+6&gt;=Cronograma!$F42),IF(Cronograma!$D42="Hito","◆","■"),"")</x:f>
      </x:c>
      <x:c r="V41" s="79" t="str">
        <x:f>IF(AND(V$5&lt;=Cronograma!$G42,V$5+6&gt;=Cronograma!$F42),IF(Cronograma!$D42="Hito","◆","■"),"")</x:f>
      </x:c>
      <x:c r="W41" s="79" t="str">
        <x:f>IF(AND(W$5&lt;=Cronograma!$G42,W$5+6&gt;=Cronograma!$F42),IF(Cronograma!$D42="Hito","◆","■"),"")</x:f>
      </x:c>
      <x:c r="X41" s="79" t="str">
        <x:f>IF(AND(X$5&lt;=Cronograma!$G42,X$5+6&gt;=Cronograma!$F42),IF(Cronograma!$D42="Hito","◆","■"),"")</x:f>
      </x:c>
      <x:c r="Y41" s="79" t="str">
        <x:f>IF(AND(Y$5&lt;=Cronograma!$G42,Y$5+6&gt;=Cronograma!$F42),IF(Cronograma!$D42="Hito","◆","■"),"")</x:f>
      </x:c>
      <x:c r="Z41" s="79" t="str">
        <x:f>IF(AND(Z$5&lt;=Cronograma!$G42,Z$5+6&gt;=Cronograma!$F42),IF(Cronograma!$D42="Hito","◆","■"),"")</x:f>
      </x:c>
      <x:c r="AA41" s="79" t="str">
        <x:f>IF(AND(AA$5&lt;=Cronograma!$G42,AA$5+6&gt;=Cronograma!$F42),IF(Cronograma!$D42="Hito","◆","■"),"")</x:f>
      </x:c>
      <x:c r="AB41" s="79" t="str">
        <x:f>IF(AND(AB$5&lt;=Cronograma!$G42,AB$5+6&gt;=Cronograma!$F42),IF(Cronograma!$D42="Hito","◆","■"),"")</x:f>
      </x:c>
      <x:c r="AC41" s="79" t="str">
        <x:f>IF(AND(AC$5&lt;=Cronograma!$G42,AC$5+6&gt;=Cronograma!$F42),IF(Cronograma!$D42="Hito","◆","■"),"")</x:f>
      </x:c>
      <x:c r="AD41" s="79" t="str">
        <x:f>IF(AND(AD$5&lt;=Cronograma!$G42,AD$5+6&gt;=Cronograma!$F42),IF(Cronograma!$D42="Hito","◆","■"),"")</x:f>
      </x:c>
      <x:c r="AE41" s="79" t="str">
        <x:f>IF(AND(AE$5&lt;=Cronograma!$G42,AE$5+6&gt;=Cronograma!$F42),IF(Cronograma!$D42="Hito","◆","■"),"")</x:f>
      </x:c>
      <x:c r="AF41" s="79" t="str">
        <x:f>IF(AND(AF$5&lt;=Cronograma!$G42,AF$5+6&gt;=Cronograma!$F42),IF(Cronograma!$D42="Hito","◆","■"),"")</x:f>
      </x:c>
      <x:c r="AG41" s="79" t="str">
        <x:f>IF(AND(AG$5&lt;=Cronograma!$G42,AG$5+6&gt;=Cronograma!$F42),IF(Cronograma!$D42="Hito","◆","■"),"")</x:f>
      </x:c>
      <x:c r="AH41" s="79" t="str">
        <x:f>IF(AND(AH$5&lt;=Cronograma!$G42,AH$5+6&gt;=Cronograma!$F42),IF(Cronograma!$D42="Hito","◆","■"),"")</x:f>
        <x:v>■</x:v>
      </x:c>
      <x:c r="AI41" s="79" t="str">
        <x:f>IF(AND(AI$5&lt;=Cronograma!$G42,AI$5+6&gt;=Cronograma!$F42),IF(Cronograma!$D42="Hito","◆","■"),"")</x:f>
        <x:v>■</x:v>
      </x:c>
      <x:c r="AJ41" s="79" t="str">
        <x:f>IF(AND(AJ$5&lt;=Cronograma!$G42,AJ$5+6&gt;=Cronograma!$F42),IF(Cronograma!$D42="Hito","◆","■"),"")</x:f>
      </x:c>
      <x:c r="AK41" s="79" t="str">
        <x:f>IF(AND(AK$5&lt;=Cronograma!$G42,AK$5+6&gt;=Cronograma!$F42),IF(Cronograma!$D42="Hito","◆","■"),"")</x:f>
      </x:c>
      <x:c r="AL41" s="79" t="str">
        <x:f>IF(AND(AL$5&lt;=Cronograma!$G42,AL$5+6&gt;=Cronograma!$F42),IF(Cronograma!$D42="Hito","◆","■"),"")</x:f>
      </x:c>
      <x:c r="AM41" s="79" t="str">
        <x:f>IF(AND(AM$5&lt;=Cronograma!$G42,AM$5+6&gt;=Cronograma!$F42),IF(Cronograma!$D42="Hito","◆","■"),"")</x:f>
      </x:c>
      <x:c r="AN41" s="79" t="str">
        <x:f>IF(AND(AN$5&lt;=Cronograma!$G42,AN$5+6&gt;=Cronograma!$F42),IF(Cronograma!$D42="Hito","◆","■"),"")</x:f>
      </x:c>
      <x:c r="AO41" s="79" t="str">
        <x:f>IF(AND(AO$5&lt;=Cronograma!$G42,AO$5+6&gt;=Cronograma!$F42),IF(Cronograma!$D42="Hito","◆","■"),"")</x:f>
      </x:c>
      <x:c r="AP41" s="79" t="str">
        <x:f>IF(AND(AP$5&lt;=Cronograma!$G42,AP$5+6&gt;=Cronograma!$F42),IF(Cronograma!$D42="Hito","◆","■"),"")</x:f>
      </x:c>
      <x:c r="AQ41" s="79" t="str">
        <x:f>IF(AND(AQ$5&lt;=Cronograma!$G42,AQ$5+6&gt;=Cronograma!$F42),IF(Cronograma!$D42="Hito","◆","■"),"")</x:f>
      </x:c>
      <x:c r="AR41" s="79" t="str">
        <x:f>IF(AND(AR$5&lt;=Cronograma!$G42,AR$5+6&gt;=Cronograma!$F42),IF(Cronograma!$D42="Hito","◆","■"),"")</x:f>
      </x:c>
    </x:row>
    <x:row r="42" ht="25" customHeight="1">
      <x:c r="A42" s="76" t="str">
        <x:f>Cronograma!A43</x:f>
        <x:v>UA-14</x:v>
      </x:c>
      <x:c r="B42" s="76" t="str">
        <x:f>Cronograma!B43</x:f>
        <x:v>Usuarios y acceso a la plataforma</x:v>
      </x:c>
      <x:c r="C42" s="76" t="str">
        <x:f>Cronograma!C43</x:f>
        <x:v>Asociar perfiles y permisos a Resultados, Protocolos y Evidencias</x:v>
      </x:c>
      <x:c r="D42" s="77" t="n">
        <x:f>Cronograma!F43</x:f>
        <x:v>46468</x:v>
      </x:c>
      <x:c r="E42" s="77" t="n">
        <x:f>Cronograma!G43</x:f>
        <x:v>46479</x:v>
      </x:c>
      <x:c r="F42" s="78" t="n">
        <x:f>Cronograma!H43</x:f>
        <x:v>12</x:v>
      </x:c>
      <x:c r="G42" s="79" t="str">
        <x:f>IF(AND(G$5&lt;=Cronograma!$G43,G$5+6&gt;=Cronograma!$F43),IF(Cronograma!$D43="Hito","◆","■"),"")</x:f>
      </x:c>
      <x:c r="H42" s="79" t="str">
        <x:f>IF(AND(H$5&lt;=Cronograma!$G43,H$5+6&gt;=Cronograma!$F43),IF(Cronograma!$D43="Hito","◆","■"),"")</x:f>
      </x:c>
      <x:c r="I42" s="79" t="str">
        <x:f>IF(AND(I$5&lt;=Cronograma!$G43,I$5+6&gt;=Cronograma!$F43),IF(Cronograma!$D43="Hito","◆","■"),"")</x:f>
      </x:c>
      <x:c r="J42" s="79" t="str">
        <x:f>IF(AND(J$5&lt;=Cronograma!$G43,J$5+6&gt;=Cronograma!$F43),IF(Cronograma!$D43="Hito","◆","■"),"")</x:f>
      </x:c>
      <x:c r="K42" s="79" t="str">
        <x:f>IF(AND(K$5&lt;=Cronograma!$G43,K$5+6&gt;=Cronograma!$F43),IF(Cronograma!$D43="Hito","◆","■"),"")</x:f>
      </x:c>
      <x:c r="L42" s="79" t="str">
        <x:f>IF(AND(L$5&lt;=Cronograma!$G43,L$5+6&gt;=Cronograma!$F43),IF(Cronograma!$D43="Hito","◆","■"),"")</x:f>
      </x:c>
      <x:c r="M42" s="79" t="str">
        <x:f>IF(AND(M$5&lt;=Cronograma!$G43,M$5+6&gt;=Cronograma!$F43),IF(Cronograma!$D43="Hito","◆","■"),"")</x:f>
      </x:c>
      <x:c r="N42" s="79" t="str">
        <x:f>IF(AND(N$5&lt;=Cronograma!$G43,N$5+6&gt;=Cronograma!$F43),IF(Cronograma!$D43="Hito","◆","■"),"")</x:f>
      </x:c>
      <x:c r="O42" s="79" t="str">
        <x:f>IF(AND(O$5&lt;=Cronograma!$G43,O$5+6&gt;=Cronograma!$F43),IF(Cronograma!$D43="Hito","◆","■"),"")</x:f>
      </x:c>
      <x:c r="P42" s="79" t="str">
        <x:f>IF(AND(P$5&lt;=Cronograma!$G43,P$5+6&gt;=Cronograma!$F43),IF(Cronograma!$D43="Hito","◆","■"),"")</x:f>
      </x:c>
      <x:c r="Q42" s="79" t="str">
        <x:f>IF(AND(Q$5&lt;=Cronograma!$G43,Q$5+6&gt;=Cronograma!$F43),IF(Cronograma!$D43="Hito","◆","■"),"")</x:f>
      </x:c>
      <x:c r="R42" s="79" t="str">
        <x:f>IF(AND(R$5&lt;=Cronograma!$G43,R$5+6&gt;=Cronograma!$F43),IF(Cronograma!$D43="Hito","◆","■"),"")</x:f>
      </x:c>
      <x:c r="S42" s="79" t="str">
        <x:f>IF(AND(S$5&lt;=Cronograma!$G43,S$5+6&gt;=Cronograma!$F43),IF(Cronograma!$D43="Hito","◆","■"),"")</x:f>
      </x:c>
      <x:c r="T42" s="79" t="str">
        <x:f>IF(AND(T$5&lt;=Cronograma!$G43,T$5+6&gt;=Cronograma!$F43),IF(Cronograma!$D43="Hito","◆","■"),"")</x:f>
      </x:c>
      <x:c r="U42" s="79" t="str">
        <x:f>IF(AND(U$5&lt;=Cronograma!$G43,U$5+6&gt;=Cronograma!$F43),IF(Cronograma!$D43="Hito","◆","■"),"")</x:f>
      </x:c>
      <x:c r="V42" s="79" t="str">
        <x:f>IF(AND(V$5&lt;=Cronograma!$G43,V$5+6&gt;=Cronograma!$F43),IF(Cronograma!$D43="Hito","◆","■"),"")</x:f>
      </x:c>
      <x:c r="W42" s="79" t="str">
        <x:f>IF(AND(W$5&lt;=Cronograma!$G43,W$5+6&gt;=Cronograma!$F43),IF(Cronograma!$D43="Hito","◆","■"),"")</x:f>
      </x:c>
      <x:c r="X42" s="79" t="str">
        <x:f>IF(AND(X$5&lt;=Cronograma!$G43,X$5+6&gt;=Cronograma!$F43),IF(Cronograma!$D43="Hito","◆","■"),"")</x:f>
      </x:c>
      <x:c r="Y42" s="79" t="str">
        <x:f>IF(AND(Y$5&lt;=Cronograma!$G43,Y$5+6&gt;=Cronograma!$F43),IF(Cronograma!$D43="Hito","◆","■"),"")</x:f>
      </x:c>
      <x:c r="Z42" s="79" t="str">
        <x:f>IF(AND(Z$5&lt;=Cronograma!$G43,Z$5+6&gt;=Cronograma!$F43),IF(Cronograma!$D43="Hito","◆","■"),"")</x:f>
      </x:c>
      <x:c r="AA42" s="79" t="str">
        <x:f>IF(AND(AA$5&lt;=Cronograma!$G43,AA$5+6&gt;=Cronograma!$F43),IF(Cronograma!$D43="Hito","◆","■"),"")</x:f>
      </x:c>
      <x:c r="AB42" s="79" t="str">
        <x:f>IF(AND(AB$5&lt;=Cronograma!$G43,AB$5+6&gt;=Cronograma!$F43),IF(Cronograma!$D43="Hito","◆","■"),"")</x:f>
      </x:c>
      <x:c r="AC42" s="79" t="str">
        <x:f>IF(AND(AC$5&lt;=Cronograma!$G43,AC$5+6&gt;=Cronograma!$F43),IF(Cronograma!$D43="Hito","◆","■"),"")</x:f>
      </x:c>
      <x:c r="AD42" s="79" t="str">
        <x:f>IF(AND(AD$5&lt;=Cronograma!$G43,AD$5+6&gt;=Cronograma!$F43),IF(Cronograma!$D43="Hito","◆","■"),"")</x:f>
      </x:c>
      <x:c r="AE42" s="79" t="str">
        <x:f>IF(AND(AE$5&lt;=Cronograma!$G43,AE$5+6&gt;=Cronograma!$F43),IF(Cronograma!$D43="Hito","◆","■"),"")</x:f>
      </x:c>
      <x:c r="AF42" s="79" t="str">
        <x:f>IF(AND(AF$5&lt;=Cronograma!$G43,AF$5+6&gt;=Cronograma!$F43),IF(Cronograma!$D43="Hito","◆","■"),"")</x:f>
      </x:c>
      <x:c r="AG42" s="79" t="str">
        <x:f>IF(AND(AG$5&lt;=Cronograma!$G43,AG$5+6&gt;=Cronograma!$F43),IF(Cronograma!$D43="Hito","◆","■"),"")</x:f>
      </x:c>
      <x:c r="AH42" s="79" t="str">
        <x:f>IF(AND(AH$5&lt;=Cronograma!$G43,AH$5+6&gt;=Cronograma!$F43),IF(Cronograma!$D43="Hito","◆","■"),"")</x:f>
      </x:c>
      <x:c r="AI42" s="79" t="str">
        <x:f>IF(AND(AI$5&lt;=Cronograma!$G43,AI$5+6&gt;=Cronograma!$F43),IF(Cronograma!$D43="Hito","◆","■"),"")</x:f>
        <x:v>■</x:v>
      </x:c>
      <x:c r="AJ42" s="79" t="str">
        <x:f>IF(AND(AJ$5&lt;=Cronograma!$G43,AJ$5+6&gt;=Cronograma!$F43),IF(Cronograma!$D43="Hito","◆","■"),"")</x:f>
        <x:v>■</x:v>
      </x:c>
      <x:c r="AK42" s="79" t="str">
        <x:f>IF(AND(AK$5&lt;=Cronograma!$G43,AK$5+6&gt;=Cronograma!$F43),IF(Cronograma!$D43="Hito","◆","■"),"")</x:f>
      </x:c>
      <x:c r="AL42" s="79" t="str">
        <x:f>IF(AND(AL$5&lt;=Cronograma!$G43,AL$5+6&gt;=Cronograma!$F43),IF(Cronograma!$D43="Hito","◆","■"),"")</x:f>
      </x:c>
      <x:c r="AM42" s="79" t="str">
        <x:f>IF(AND(AM$5&lt;=Cronograma!$G43,AM$5+6&gt;=Cronograma!$F43),IF(Cronograma!$D43="Hito","◆","■"),"")</x:f>
      </x:c>
      <x:c r="AN42" s="79" t="str">
        <x:f>IF(AND(AN$5&lt;=Cronograma!$G43,AN$5+6&gt;=Cronograma!$F43),IF(Cronograma!$D43="Hito","◆","■"),"")</x:f>
      </x:c>
      <x:c r="AO42" s="79" t="str">
        <x:f>IF(AND(AO$5&lt;=Cronograma!$G43,AO$5+6&gt;=Cronograma!$F43),IF(Cronograma!$D43="Hito","◆","■"),"")</x:f>
      </x:c>
      <x:c r="AP42" s="79" t="str">
        <x:f>IF(AND(AP$5&lt;=Cronograma!$G43,AP$5+6&gt;=Cronograma!$F43),IF(Cronograma!$D43="Hito","◆","■"),"")</x:f>
      </x:c>
      <x:c r="AQ42" s="79" t="str">
        <x:f>IF(AND(AQ$5&lt;=Cronograma!$G43,AQ$5+6&gt;=Cronograma!$F43),IF(Cronograma!$D43="Hito","◆","■"),"")</x:f>
      </x:c>
      <x:c r="AR42" s="79" t="str">
        <x:f>IF(AND(AR$5&lt;=Cronograma!$G43,AR$5+6&gt;=Cronograma!$F43),IF(Cronograma!$D43="Hito","◆","■"),"")</x:f>
      </x:c>
    </x:row>
    <x:row r="43" ht="25" customHeight="1">
      <x:c r="A43" s="76" t="str">
        <x:f>Cronograma!A44</x:f>
        <x:v>UA-15</x:v>
      </x:c>
      <x:c r="B43" s="76" t="str">
        <x:f>Cronograma!B44</x:f>
        <x:v>Usuarios y acceso a la plataforma</x:v>
      </x:c>
      <x:c r="C43" s="76" t="str">
        <x:f>Cronograma!C44</x:f>
        <x:v>Asociar perfiles y permisos a Aprobaciones y Traspasos</x:v>
      </x:c>
      <x:c r="D43" s="77" t="n">
        <x:f>Cronograma!F44</x:f>
        <x:v>46468</x:v>
      </x:c>
      <x:c r="E43" s="77" t="n">
        <x:f>Cronograma!G44</x:f>
        <x:v>46479</x:v>
      </x:c>
      <x:c r="F43" s="78" t="n">
        <x:f>Cronograma!H44</x:f>
        <x:v>12</x:v>
      </x:c>
      <x:c r="G43" s="79" t="str">
        <x:f>IF(AND(G$5&lt;=Cronograma!$G44,G$5+6&gt;=Cronograma!$F44),IF(Cronograma!$D44="Hito","◆","■"),"")</x:f>
      </x:c>
      <x:c r="H43" s="79" t="str">
        <x:f>IF(AND(H$5&lt;=Cronograma!$G44,H$5+6&gt;=Cronograma!$F44),IF(Cronograma!$D44="Hito","◆","■"),"")</x:f>
      </x:c>
      <x:c r="I43" s="79" t="str">
        <x:f>IF(AND(I$5&lt;=Cronograma!$G44,I$5+6&gt;=Cronograma!$F44),IF(Cronograma!$D44="Hito","◆","■"),"")</x:f>
      </x:c>
      <x:c r="J43" s="79" t="str">
        <x:f>IF(AND(J$5&lt;=Cronograma!$G44,J$5+6&gt;=Cronograma!$F44),IF(Cronograma!$D44="Hito","◆","■"),"")</x:f>
      </x:c>
      <x:c r="K43" s="79" t="str">
        <x:f>IF(AND(K$5&lt;=Cronograma!$G44,K$5+6&gt;=Cronograma!$F44),IF(Cronograma!$D44="Hito","◆","■"),"")</x:f>
      </x:c>
      <x:c r="L43" s="79" t="str">
        <x:f>IF(AND(L$5&lt;=Cronograma!$G44,L$5+6&gt;=Cronograma!$F44),IF(Cronograma!$D44="Hito","◆","■"),"")</x:f>
      </x:c>
      <x:c r="M43" s="79" t="str">
        <x:f>IF(AND(M$5&lt;=Cronograma!$G44,M$5+6&gt;=Cronograma!$F44),IF(Cronograma!$D44="Hito","◆","■"),"")</x:f>
      </x:c>
      <x:c r="N43" s="79" t="str">
        <x:f>IF(AND(N$5&lt;=Cronograma!$G44,N$5+6&gt;=Cronograma!$F44),IF(Cronograma!$D44="Hito","◆","■"),"")</x:f>
      </x:c>
      <x:c r="O43" s="79" t="str">
        <x:f>IF(AND(O$5&lt;=Cronograma!$G44,O$5+6&gt;=Cronograma!$F44),IF(Cronograma!$D44="Hito","◆","■"),"")</x:f>
      </x:c>
      <x:c r="P43" s="79" t="str">
        <x:f>IF(AND(P$5&lt;=Cronograma!$G44,P$5+6&gt;=Cronograma!$F44),IF(Cronograma!$D44="Hito","◆","■"),"")</x:f>
      </x:c>
      <x:c r="Q43" s="79" t="str">
        <x:f>IF(AND(Q$5&lt;=Cronograma!$G44,Q$5+6&gt;=Cronograma!$F44),IF(Cronograma!$D44="Hito","◆","■"),"")</x:f>
      </x:c>
      <x:c r="R43" s="79" t="str">
        <x:f>IF(AND(R$5&lt;=Cronograma!$G44,R$5+6&gt;=Cronograma!$F44),IF(Cronograma!$D44="Hito","◆","■"),"")</x:f>
      </x:c>
      <x:c r="S43" s="79" t="str">
        <x:f>IF(AND(S$5&lt;=Cronograma!$G44,S$5+6&gt;=Cronograma!$F44),IF(Cronograma!$D44="Hito","◆","■"),"")</x:f>
      </x:c>
      <x:c r="T43" s="79" t="str">
        <x:f>IF(AND(T$5&lt;=Cronograma!$G44,T$5+6&gt;=Cronograma!$F44),IF(Cronograma!$D44="Hito","◆","■"),"")</x:f>
      </x:c>
      <x:c r="U43" s="79" t="str">
        <x:f>IF(AND(U$5&lt;=Cronograma!$G44,U$5+6&gt;=Cronograma!$F44),IF(Cronograma!$D44="Hito","◆","■"),"")</x:f>
      </x:c>
      <x:c r="V43" s="79" t="str">
        <x:f>IF(AND(V$5&lt;=Cronograma!$G44,V$5+6&gt;=Cronograma!$F44),IF(Cronograma!$D44="Hito","◆","■"),"")</x:f>
      </x:c>
      <x:c r="W43" s="79" t="str">
        <x:f>IF(AND(W$5&lt;=Cronograma!$G44,W$5+6&gt;=Cronograma!$F44),IF(Cronograma!$D44="Hito","◆","■"),"")</x:f>
      </x:c>
      <x:c r="X43" s="79" t="str">
        <x:f>IF(AND(X$5&lt;=Cronograma!$G44,X$5+6&gt;=Cronograma!$F44),IF(Cronograma!$D44="Hito","◆","■"),"")</x:f>
      </x:c>
      <x:c r="Y43" s="79" t="str">
        <x:f>IF(AND(Y$5&lt;=Cronograma!$G44,Y$5+6&gt;=Cronograma!$F44),IF(Cronograma!$D44="Hito","◆","■"),"")</x:f>
      </x:c>
      <x:c r="Z43" s="79" t="str">
        <x:f>IF(AND(Z$5&lt;=Cronograma!$G44,Z$5+6&gt;=Cronograma!$F44),IF(Cronograma!$D44="Hito","◆","■"),"")</x:f>
      </x:c>
      <x:c r="AA43" s="79" t="str">
        <x:f>IF(AND(AA$5&lt;=Cronograma!$G44,AA$5+6&gt;=Cronograma!$F44),IF(Cronograma!$D44="Hito","◆","■"),"")</x:f>
      </x:c>
      <x:c r="AB43" s="79" t="str">
        <x:f>IF(AND(AB$5&lt;=Cronograma!$G44,AB$5+6&gt;=Cronograma!$F44),IF(Cronograma!$D44="Hito","◆","■"),"")</x:f>
      </x:c>
      <x:c r="AC43" s="79" t="str">
        <x:f>IF(AND(AC$5&lt;=Cronograma!$G44,AC$5+6&gt;=Cronograma!$F44),IF(Cronograma!$D44="Hito","◆","■"),"")</x:f>
      </x:c>
      <x:c r="AD43" s="79" t="str">
        <x:f>IF(AND(AD$5&lt;=Cronograma!$G44,AD$5+6&gt;=Cronograma!$F44),IF(Cronograma!$D44="Hito","◆","■"),"")</x:f>
      </x:c>
      <x:c r="AE43" s="79" t="str">
        <x:f>IF(AND(AE$5&lt;=Cronograma!$G44,AE$5+6&gt;=Cronograma!$F44),IF(Cronograma!$D44="Hito","◆","■"),"")</x:f>
      </x:c>
      <x:c r="AF43" s="79" t="str">
        <x:f>IF(AND(AF$5&lt;=Cronograma!$G44,AF$5+6&gt;=Cronograma!$F44),IF(Cronograma!$D44="Hito","◆","■"),"")</x:f>
      </x:c>
      <x:c r="AG43" s="79" t="str">
        <x:f>IF(AND(AG$5&lt;=Cronograma!$G44,AG$5+6&gt;=Cronograma!$F44),IF(Cronograma!$D44="Hito","◆","■"),"")</x:f>
      </x:c>
      <x:c r="AH43" s="79" t="str">
        <x:f>IF(AND(AH$5&lt;=Cronograma!$G44,AH$5+6&gt;=Cronograma!$F44),IF(Cronograma!$D44="Hito","◆","■"),"")</x:f>
      </x:c>
      <x:c r="AI43" s="79" t="str">
        <x:f>IF(AND(AI$5&lt;=Cronograma!$G44,AI$5+6&gt;=Cronograma!$F44),IF(Cronograma!$D44="Hito","◆","■"),"")</x:f>
        <x:v>■</x:v>
      </x:c>
      <x:c r="AJ43" s="79" t="str">
        <x:f>IF(AND(AJ$5&lt;=Cronograma!$G44,AJ$5+6&gt;=Cronograma!$F44),IF(Cronograma!$D44="Hito","◆","■"),"")</x:f>
        <x:v>■</x:v>
      </x:c>
      <x:c r="AK43" s="79" t="str">
        <x:f>IF(AND(AK$5&lt;=Cronograma!$G44,AK$5+6&gt;=Cronograma!$F44),IF(Cronograma!$D44="Hito","◆","■"),"")</x:f>
      </x:c>
      <x:c r="AL43" s="79" t="str">
        <x:f>IF(AND(AL$5&lt;=Cronograma!$G44,AL$5+6&gt;=Cronograma!$F44),IF(Cronograma!$D44="Hito","◆","■"),"")</x:f>
      </x:c>
      <x:c r="AM43" s="79" t="str">
        <x:f>IF(AND(AM$5&lt;=Cronograma!$G44,AM$5+6&gt;=Cronograma!$F44),IF(Cronograma!$D44="Hito","◆","■"),"")</x:f>
      </x:c>
      <x:c r="AN43" s="79" t="str">
        <x:f>IF(AND(AN$5&lt;=Cronograma!$G44,AN$5+6&gt;=Cronograma!$F44),IF(Cronograma!$D44="Hito","◆","■"),"")</x:f>
      </x:c>
      <x:c r="AO43" s="79" t="str">
        <x:f>IF(AND(AO$5&lt;=Cronograma!$G44,AO$5+6&gt;=Cronograma!$F44),IF(Cronograma!$D44="Hito","◆","■"),"")</x:f>
      </x:c>
      <x:c r="AP43" s="79" t="str">
        <x:f>IF(AND(AP$5&lt;=Cronograma!$G44,AP$5+6&gt;=Cronograma!$F44),IF(Cronograma!$D44="Hito","◆","■"),"")</x:f>
      </x:c>
      <x:c r="AQ43" s="79" t="str">
        <x:f>IF(AND(AQ$5&lt;=Cronograma!$G44,AQ$5+6&gt;=Cronograma!$F44),IF(Cronograma!$D44="Hito","◆","■"),"")</x:f>
      </x:c>
      <x:c r="AR43" s="79" t="str">
        <x:f>IF(AND(AR$5&lt;=Cronograma!$G44,AR$5+6&gt;=Cronograma!$F44),IF(Cronograma!$D44="Hito","◆","■"),"")</x:f>
      </x:c>
    </x:row>
    <x:row r="44" ht="25" customHeight="1">
      <x:c r="A44" s="76" t="str">
        <x:f>Cronograma!A45</x:f>
        <x:v>UA-16</x:v>
      </x:c>
      <x:c r="B44" s="76" t="str">
        <x:f>Cronograma!B45</x:f>
        <x:v>Usuarios y acceso a la plataforma</x:v>
      </x:c>
      <x:c r="C44" s="76" t="str">
        <x:f>Cronograma!C45</x:f>
        <x:v>Asociar perfiles y permisos a Reportes y Repositorios</x:v>
      </x:c>
      <x:c r="D44" s="77" t="n">
        <x:f>Cronograma!F45</x:f>
        <x:v>46475</x:v>
      </x:c>
      <x:c r="E44" s="77" t="n">
        <x:f>Cronograma!G45</x:f>
        <x:v>46486</x:v>
      </x:c>
      <x:c r="F44" s="78" t="n">
        <x:f>Cronograma!H45</x:f>
        <x:v>12</x:v>
      </x:c>
      <x:c r="G44" s="79" t="str">
        <x:f>IF(AND(G$5&lt;=Cronograma!$G45,G$5+6&gt;=Cronograma!$F45),IF(Cronograma!$D45="Hito","◆","■"),"")</x:f>
      </x:c>
      <x:c r="H44" s="79" t="str">
        <x:f>IF(AND(H$5&lt;=Cronograma!$G45,H$5+6&gt;=Cronograma!$F45),IF(Cronograma!$D45="Hito","◆","■"),"")</x:f>
      </x:c>
      <x:c r="I44" s="79" t="str">
        <x:f>IF(AND(I$5&lt;=Cronograma!$G45,I$5+6&gt;=Cronograma!$F45),IF(Cronograma!$D45="Hito","◆","■"),"")</x:f>
      </x:c>
      <x:c r="J44" s="79" t="str">
        <x:f>IF(AND(J$5&lt;=Cronograma!$G45,J$5+6&gt;=Cronograma!$F45),IF(Cronograma!$D45="Hito","◆","■"),"")</x:f>
      </x:c>
      <x:c r="K44" s="79" t="str">
        <x:f>IF(AND(K$5&lt;=Cronograma!$G45,K$5+6&gt;=Cronograma!$F45),IF(Cronograma!$D45="Hito","◆","■"),"")</x:f>
      </x:c>
      <x:c r="L44" s="79" t="str">
        <x:f>IF(AND(L$5&lt;=Cronograma!$G45,L$5+6&gt;=Cronograma!$F45),IF(Cronograma!$D45="Hito","◆","■"),"")</x:f>
      </x:c>
      <x:c r="M44" s="79" t="str">
        <x:f>IF(AND(M$5&lt;=Cronograma!$G45,M$5+6&gt;=Cronograma!$F45),IF(Cronograma!$D45="Hito","◆","■"),"")</x:f>
      </x:c>
      <x:c r="N44" s="79" t="str">
        <x:f>IF(AND(N$5&lt;=Cronograma!$G45,N$5+6&gt;=Cronograma!$F45),IF(Cronograma!$D45="Hito","◆","■"),"")</x:f>
      </x:c>
      <x:c r="O44" s="79" t="str">
        <x:f>IF(AND(O$5&lt;=Cronograma!$G45,O$5+6&gt;=Cronograma!$F45),IF(Cronograma!$D45="Hito","◆","■"),"")</x:f>
      </x:c>
      <x:c r="P44" s="79" t="str">
        <x:f>IF(AND(P$5&lt;=Cronograma!$G45,P$5+6&gt;=Cronograma!$F45),IF(Cronograma!$D45="Hito","◆","■"),"")</x:f>
      </x:c>
      <x:c r="Q44" s="79" t="str">
        <x:f>IF(AND(Q$5&lt;=Cronograma!$G45,Q$5+6&gt;=Cronograma!$F45),IF(Cronograma!$D45="Hito","◆","■"),"")</x:f>
      </x:c>
      <x:c r="R44" s="79" t="str">
        <x:f>IF(AND(R$5&lt;=Cronograma!$G45,R$5+6&gt;=Cronograma!$F45),IF(Cronograma!$D45="Hito","◆","■"),"")</x:f>
      </x:c>
      <x:c r="S44" s="79" t="str">
        <x:f>IF(AND(S$5&lt;=Cronograma!$G45,S$5+6&gt;=Cronograma!$F45),IF(Cronograma!$D45="Hito","◆","■"),"")</x:f>
      </x:c>
      <x:c r="T44" s="79" t="str">
        <x:f>IF(AND(T$5&lt;=Cronograma!$G45,T$5+6&gt;=Cronograma!$F45),IF(Cronograma!$D45="Hito","◆","■"),"")</x:f>
      </x:c>
      <x:c r="U44" s="79" t="str">
        <x:f>IF(AND(U$5&lt;=Cronograma!$G45,U$5+6&gt;=Cronograma!$F45),IF(Cronograma!$D45="Hito","◆","■"),"")</x:f>
      </x:c>
      <x:c r="V44" s="79" t="str">
        <x:f>IF(AND(V$5&lt;=Cronograma!$G45,V$5+6&gt;=Cronograma!$F45),IF(Cronograma!$D45="Hito","◆","■"),"")</x:f>
      </x:c>
      <x:c r="W44" s="79" t="str">
        <x:f>IF(AND(W$5&lt;=Cronograma!$G45,W$5+6&gt;=Cronograma!$F45),IF(Cronograma!$D45="Hito","◆","■"),"")</x:f>
      </x:c>
      <x:c r="X44" s="79" t="str">
        <x:f>IF(AND(X$5&lt;=Cronograma!$G45,X$5+6&gt;=Cronograma!$F45),IF(Cronograma!$D45="Hito","◆","■"),"")</x:f>
      </x:c>
      <x:c r="Y44" s="79" t="str">
        <x:f>IF(AND(Y$5&lt;=Cronograma!$G45,Y$5+6&gt;=Cronograma!$F45),IF(Cronograma!$D45="Hito","◆","■"),"")</x:f>
      </x:c>
      <x:c r="Z44" s="79" t="str">
        <x:f>IF(AND(Z$5&lt;=Cronograma!$G45,Z$5+6&gt;=Cronograma!$F45),IF(Cronograma!$D45="Hito","◆","■"),"")</x:f>
      </x:c>
      <x:c r="AA44" s="79" t="str">
        <x:f>IF(AND(AA$5&lt;=Cronograma!$G45,AA$5+6&gt;=Cronograma!$F45),IF(Cronograma!$D45="Hito","◆","■"),"")</x:f>
      </x:c>
      <x:c r="AB44" s="79" t="str">
        <x:f>IF(AND(AB$5&lt;=Cronograma!$G45,AB$5+6&gt;=Cronograma!$F45),IF(Cronograma!$D45="Hito","◆","■"),"")</x:f>
      </x:c>
      <x:c r="AC44" s="79" t="str">
        <x:f>IF(AND(AC$5&lt;=Cronograma!$G45,AC$5+6&gt;=Cronograma!$F45),IF(Cronograma!$D45="Hito","◆","■"),"")</x:f>
      </x:c>
      <x:c r="AD44" s="79" t="str">
        <x:f>IF(AND(AD$5&lt;=Cronograma!$G45,AD$5+6&gt;=Cronograma!$F45),IF(Cronograma!$D45="Hito","◆","■"),"")</x:f>
      </x:c>
      <x:c r="AE44" s="79" t="str">
        <x:f>IF(AND(AE$5&lt;=Cronograma!$G45,AE$5+6&gt;=Cronograma!$F45),IF(Cronograma!$D45="Hito","◆","■"),"")</x:f>
      </x:c>
      <x:c r="AF44" s="79" t="str">
        <x:f>IF(AND(AF$5&lt;=Cronograma!$G45,AF$5+6&gt;=Cronograma!$F45),IF(Cronograma!$D45="Hito","◆","■"),"")</x:f>
      </x:c>
      <x:c r="AG44" s="79" t="str">
        <x:f>IF(AND(AG$5&lt;=Cronograma!$G45,AG$5+6&gt;=Cronograma!$F45),IF(Cronograma!$D45="Hito","◆","■"),"")</x:f>
      </x:c>
      <x:c r="AH44" s="79" t="str">
        <x:f>IF(AND(AH$5&lt;=Cronograma!$G45,AH$5+6&gt;=Cronograma!$F45),IF(Cronograma!$D45="Hito","◆","■"),"")</x:f>
      </x:c>
      <x:c r="AI44" s="79" t="str">
        <x:f>IF(AND(AI$5&lt;=Cronograma!$G45,AI$5+6&gt;=Cronograma!$F45),IF(Cronograma!$D45="Hito","◆","■"),"")</x:f>
      </x:c>
      <x:c r="AJ44" s="79" t="str">
        <x:f>IF(AND(AJ$5&lt;=Cronograma!$G45,AJ$5+6&gt;=Cronograma!$F45),IF(Cronograma!$D45="Hito","◆","■"),"")</x:f>
        <x:v>■</x:v>
      </x:c>
      <x:c r="AK44" s="79" t="str">
        <x:f>IF(AND(AK$5&lt;=Cronograma!$G45,AK$5+6&gt;=Cronograma!$F45),IF(Cronograma!$D45="Hito","◆","■"),"")</x:f>
        <x:v>■</x:v>
      </x:c>
      <x:c r="AL44" s="79" t="str">
        <x:f>IF(AND(AL$5&lt;=Cronograma!$G45,AL$5+6&gt;=Cronograma!$F45),IF(Cronograma!$D45="Hito","◆","■"),"")</x:f>
      </x:c>
      <x:c r="AM44" s="79" t="str">
        <x:f>IF(AND(AM$5&lt;=Cronograma!$G45,AM$5+6&gt;=Cronograma!$F45),IF(Cronograma!$D45="Hito","◆","■"),"")</x:f>
      </x:c>
      <x:c r="AN44" s="79" t="str">
        <x:f>IF(AND(AN$5&lt;=Cronograma!$G45,AN$5+6&gt;=Cronograma!$F45),IF(Cronograma!$D45="Hito","◆","■"),"")</x:f>
      </x:c>
      <x:c r="AO44" s="79" t="str">
        <x:f>IF(AND(AO$5&lt;=Cronograma!$G45,AO$5+6&gt;=Cronograma!$F45),IF(Cronograma!$D45="Hito","◆","■"),"")</x:f>
      </x:c>
      <x:c r="AP44" s="79" t="str">
        <x:f>IF(AND(AP$5&lt;=Cronograma!$G45,AP$5+6&gt;=Cronograma!$F45),IF(Cronograma!$D45="Hito","◆","■"),"")</x:f>
      </x:c>
      <x:c r="AQ44" s="79" t="str">
        <x:f>IF(AND(AQ$5&lt;=Cronograma!$G45,AQ$5+6&gt;=Cronograma!$F45),IF(Cronograma!$D45="Hito","◆","■"),"")</x:f>
      </x:c>
      <x:c r="AR44" s="79" t="str">
        <x:f>IF(AND(AR$5&lt;=Cronograma!$G45,AR$5+6&gt;=Cronograma!$F45),IF(Cronograma!$D45="Hito","◆","■"),"")</x:f>
      </x:c>
    </x:row>
    <x:row r="45" ht="25" customHeight="1">
      <x:c r="A45" s="80" t="str">
        <x:f>Cronograma!A46</x:f>
        <x:v>UA-H2</x:v>
      </x:c>
      <x:c r="B45" s="80" t="str">
        <x:f>Cronograma!B46</x:f>
        <x:v>Usuarios y acceso a la plataforma</x:v>
      </x:c>
      <x:c r="C45" s="80" t="str">
        <x:f>Cronograma!C46</x:f>
        <x:v>Hito: permisos integrados en toda la plataforma</x:v>
      </x:c>
      <x:c r="D45" s="81" t="n">
        <x:f>Cronograma!F46</x:f>
        <x:v>46486</x:v>
      </x:c>
      <x:c r="E45" s="81" t="n">
        <x:f>Cronograma!G46</x:f>
        <x:v>46486</x:v>
      </x:c>
      <x:c r="F45" s="82" t="n">
        <x:f>Cronograma!H46</x:f>
        <x:v>1</x:v>
      </x:c>
      <x:c r="G45" s="83" t="str">
        <x:f>IF(AND(G$5&lt;=Cronograma!$G46,G$5+6&gt;=Cronograma!$F46),IF(Cronograma!$D46="Hito","◆","■"),"")</x:f>
      </x:c>
      <x:c r="H45" s="83" t="str">
        <x:f>IF(AND(H$5&lt;=Cronograma!$G46,H$5+6&gt;=Cronograma!$F46),IF(Cronograma!$D46="Hito","◆","■"),"")</x:f>
      </x:c>
      <x:c r="I45" s="83" t="str">
        <x:f>IF(AND(I$5&lt;=Cronograma!$G46,I$5+6&gt;=Cronograma!$F46),IF(Cronograma!$D46="Hito","◆","■"),"")</x:f>
      </x:c>
      <x:c r="J45" s="83" t="str">
        <x:f>IF(AND(J$5&lt;=Cronograma!$G46,J$5+6&gt;=Cronograma!$F46),IF(Cronograma!$D46="Hito","◆","■"),"")</x:f>
      </x:c>
      <x:c r="K45" s="83" t="str">
        <x:f>IF(AND(K$5&lt;=Cronograma!$G46,K$5+6&gt;=Cronograma!$F46),IF(Cronograma!$D46="Hito","◆","■"),"")</x:f>
      </x:c>
      <x:c r="L45" s="83" t="str">
        <x:f>IF(AND(L$5&lt;=Cronograma!$G46,L$5+6&gt;=Cronograma!$F46),IF(Cronograma!$D46="Hito","◆","■"),"")</x:f>
      </x:c>
      <x:c r="M45" s="83" t="str">
        <x:f>IF(AND(M$5&lt;=Cronograma!$G46,M$5+6&gt;=Cronograma!$F46),IF(Cronograma!$D46="Hito","◆","■"),"")</x:f>
      </x:c>
      <x:c r="N45" s="83" t="str">
        <x:f>IF(AND(N$5&lt;=Cronograma!$G46,N$5+6&gt;=Cronograma!$F46),IF(Cronograma!$D46="Hito","◆","■"),"")</x:f>
      </x:c>
      <x:c r="O45" s="83" t="str">
        <x:f>IF(AND(O$5&lt;=Cronograma!$G46,O$5+6&gt;=Cronograma!$F46),IF(Cronograma!$D46="Hito","◆","■"),"")</x:f>
      </x:c>
      <x:c r="P45" s="83" t="str">
        <x:f>IF(AND(P$5&lt;=Cronograma!$G46,P$5+6&gt;=Cronograma!$F46),IF(Cronograma!$D46="Hito","◆","■"),"")</x:f>
      </x:c>
      <x:c r="Q45" s="83" t="str">
        <x:f>IF(AND(Q$5&lt;=Cronograma!$G46,Q$5+6&gt;=Cronograma!$F46),IF(Cronograma!$D46="Hito","◆","■"),"")</x:f>
      </x:c>
      <x:c r="R45" s="83" t="str">
        <x:f>IF(AND(R$5&lt;=Cronograma!$G46,R$5+6&gt;=Cronograma!$F46),IF(Cronograma!$D46="Hito","◆","■"),"")</x:f>
      </x:c>
      <x:c r="S45" s="83" t="str">
        <x:f>IF(AND(S$5&lt;=Cronograma!$G46,S$5+6&gt;=Cronograma!$F46),IF(Cronograma!$D46="Hito","◆","■"),"")</x:f>
      </x:c>
      <x:c r="T45" s="83" t="str">
        <x:f>IF(AND(T$5&lt;=Cronograma!$G46,T$5+6&gt;=Cronograma!$F46),IF(Cronograma!$D46="Hito","◆","■"),"")</x:f>
      </x:c>
      <x:c r="U45" s="83" t="str">
        <x:f>IF(AND(U$5&lt;=Cronograma!$G46,U$5+6&gt;=Cronograma!$F46),IF(Cronograma!$D46="Hito","◆","■"),"")</x:f>
      </x:c>
      <x:c r="V45" s="83" t="str">
        <x:f>IF(AND(V$5&lt;=Cronograma!$G46,V$5+6&gt;=Cronograma!$F46),IF(Cronograma!$D46="Hito","◆","■"),"")</x:f>
      </x:c>
      <x:c r="W45" s="83" t="str">
        <x:f>IF(AND(W$5&lt;=Cronograma!$G46,W$5+6&gt;=Cronograma!$F46),IF(Cronograma!$D46="Hito","◆","■"),"")</x:f>
      </x:c>
      <x:c r="X45" s="83" t="str">
        <x:f>IF(AND(X$5&lt;=Cronograma!$G46,X$5+6&gt;=Cronograma!$F46),IF(Cronograma!$D46="Hito","◆","■"),"")</x:f>
      </x:c>
      <x:c r="Y45" s="83" t="str">
        <x:f>IF(AND(Y$5&lt;=Cronograma!$G46,Y$5+6&gt;=Cronograma!$F46),IF(Cronograma!$D46="Hito","◆","■"),"")</x:f>
      </x:c>
      <x:c r="Z45" s="83" t="str">
        <x:f>IF(AND(Z$5&lt;=Cronograma!$G46,Z$5+6&gt;=Cronograma!$F46),IF(Cronograma!$D46="Hito","◆","■"),"")</x:f>
      </x:c>
      <x:c r="AA45" s="83" t="str">
        <x:f>IF(AND(AA$5&lt;=Cronograma!$G46,AA$5+6&gt;=Cronograma!$F46),IF(Cronograma!$D46="Hito","◆","■"),"")</x:f>
      </x:c>
      <x:c r="AB45" s="83" t="str">
        <x:f>IF(AND(AB$5&lt;=Cronograma!$G46,AB$5+6&gt;=Cronograma!$F46),IF(Cronograma!$D46="Hito","◆","■"),"")</x:f>
      </x:c>
      <x:c r="AC45" s="83" t="str">
        <x:f>IF(AND(AC$5&lt;=Cronograma!$G46,AC$5+6&gt;=Cronograma!$F46),IF(Cronograma!$D46="Hito","◆","■"),"")</x:f>
      </x:c>
      <x:c r="AD45" s="83" t="str">
        <x:f>IF(AND(AD$5&lt;=Cronograma!$G46,AD$5+6&gt;=Cronograma!$F46),IF(Cronograma!$D46="Hito","◆","■"),"")</x:f>
      </x:c>
      <x:c r="AE45" s="83" t="str">
        <x:f>IF(AND(AE$5&lt;=Cronograma!$G46,AE$5+6&gt;=Cronograma!$F46),IF(Cronograma!$D46="Hito","◆","■"),"")</x:f>
      </x:c>
      <x:c r="AF45" s="83" t="str">
        <x:f>IF(AND(AF$5&lt;=Cronograma!$G46,AF$5+6&gt;=Cronograma!$F46),IF(Cronograma!$D46="Hito","◆","■"),"")</x:f>
      </x:c>
      <x:c r="AG45" s="83" t="str">
        <x:f>IF(AND(AG$5&lt;=Cronograma!$G46,AG$5+6&gt;=Cronograma!$F46),IF(Cronograma!$D46="Hito","◆","■"),"")</x:f>
      </x:c>
      <x:c r="AH45" s="83" t="str">
        <x:f>IF(AND(AH$5&lt;=Cronograma!$G46,AH$5+6&gt;=Cronograma!$F46),IF(Cronograma!$D46="Hito","◆","■"),"")</x:f>
      </x:c>
      <x:c r="AI45" s="83" t="str">
        <x:f>IF(AND(AI$5&lt;=Cronograma!$G46,AI$5+6&gt;=Cronograma!$F46),IF(Cronograma!$D46="Hito","◆","■"),"")</x:f>
      </x:c>
      <x:c r="AJ45" s="83" t="str">
        <x:f>IF(AND(AJ$5&lt;=Cronograma!$G46,AJ$5+6&gt;=Cronograma!$F46),IF(Cronograma!$D46="Hito","◆","■"),"")</x:f>
      </x:c>
      <x:c r="AK45" s="83" t="str">
        <x:f>IF(AND(AK$5&lt;=Cronograma!$G46,AK$5+6&gt;=Cronograma!$F46),IF(Cronograma!$D46="Hito","◆","■"),"")</x:f>
        <x:v>◆</x:v>
      </x:c>
      <x:c r="AL45" s="83" t="str">
        <x:f>IF(AND(AL$5&lt;=Cronograma!$G46,AL$5+6&gt;=Cronograma!$F46),IF(Cronograma!$D46="Hito","◆","■"),"")</x:f>
      </x:c>
      <x:c r="AM45" s="83" t="str">
        <x:f>IF(AND(AM$5&lt;=Cronograma!$G46,AM$5+6&gt;=Cronograma!$F46),IF(Cronograma!$D46="Hito","◆","■"),"")</x:f>
      </x:c>
      <x:c r="AN45" s="83" t="str">
        <x:f>IF(AND(AN$5&lt;=Cronograma!$G46,AN$5+6&gt;=Cronograma!$F46),IF(Cronograma!$D46="Hito","◆","■"),"")</x:f>
      </x:c>
      <x:c r="AO45" s="83" t="str">
        <x:f>IF(AND(AO$5&lt;=Cronograma!$G46,AO$5+6&gt;=Cronograma!$F46),IF(Cronograma!$D46="Hito","◆","■"),"")</x:f>
      </x:c>
      <x:c r="AP45" s="83" t="str">
        <x:f>IF(AND(AP$5&lt;=Cronograma!$G46,AP$5+6&gt;=Cronograma!$F46),IF(Cronograma!$D46="Hito","◆","■"),"")</x:f>
      </x:c>
      <x:c r="AQ45" s="83" t="str">
        <x:f>IF(AND(AQ$5&lt;=Cronograma!$G46,AQ$5+6&gt;=Cronograma!$F46),IF(Cronograma!$D46="Hito","◆","■"),"")</x:f>
      </x:c>
      <x:c r="AR45" s="83" t="str">
        <x:f>IF(AND(AR$5&lt;=Cronograma!$G46,AR$5+6&gt;=Cronograma!$F46),IF(Cronograma!$D46="Hito","◆","■"),"")</x:f>
      </x:c>
    </x:row>
    <x:row r="46" ht="25" customHeight="1">
      <x:c r="A46" s="76" t="str">
        <x:f>Cronograma!A47</x:f>
        <x:v>PR-01</x:v>
      </x:c>
      <x:c r="B46" s="76" t="str">
        <x:f>Cronograma!B47</x:f>
        <x:v>Pruebas funcionales y de seguridad</x:v>
      </x:c>
      <x:c r="C46" s="76" t="str">
        <x:f>Cronograma!C47</x:f>
        <x:v>Pruebas unitarias</x:v>
      </x:c>
      <x:c r="D46" s="77" t="n">
        <x:f>Cronograma!F47</x:f>
        <x:v>46314</x:v>
      </x:c>
      <x:c r="E46" s="77" t="n">
        <x:f>Cronograma!G47</x:f>
        <x:v>46416</x:v>
      </x:c>
      <x:c r="F46" s="78" t="n">
        <x:f>Cronograma!H47</x:f>
        <x:v>103</x:v>
      </x:c>
      <x:c r="G46" s="79" t="str">
        <x:f>IF(AND(G$5&lt;=Cronograma!$G47,G$5+6&gt;=Cronograma!$F47),IF(Cronograma!$D47="Hito","◆","■"),"")</x:f>
      </x:c>
      <x:c r="H46" s="79" t="str">
        <x:f>IF(AND(H$5&lt;=Cronograma!$G47,H$5+6&gt;=Cronograma!$F47),IF(Cronograma!$D47="Hito","◆","■"),"")</x:f>
      </x:c>
      <x:c r="I46" s="79" t="str">
        <x:f>IF(AND(I$5&lt;=Cronograma!$G47,I$5+6&gt;=Cronograma!$F47),IF(Cronograma!$D47="Hito","◆","■"),"")</x:f>
      </x:c>
      <x:c r="J46" s="79" t="str">
        <x:f>IF(AND(J$5&lt;=Cronograma!$G47,J$5+6&gt;=Cronograma!$F47),IF(Cronograma!$D47="Hito","◆","■"),"")</x:f>
      </x:c>
      <x:c r="K46" s="79" t="str">
        <x:f>IF(AND(K$5&lt;=Cronograma!$G47,K$5+6&gt;=Cronograma!$F47),IF(Cronograma!$D47="Hito","◆","■"),"")</x:f>
      </x:c>
      <x:c r="L46" s="79" t="str">
        <x:f>IF(AND(L$5&lt;=Cronograma!$G47,L$5+6&gt;=Cronograma!$F47),IF(Cronograma!$D47="Hito","◆","■"),"")</x:f>
      </x:c>
      <x:c r="M46" s="79" t="str">
        <x:f>IF(AND(M$5&lt;=Cronograma!$G47,M$5+6&gt;=Cronograma!$F47),IF(Cronograma!$D47="Hito","◆","■"),"")</x:f>
        <x:v>■</x:v>
      </x:c>
      <x:c r="N46" s="79" t="str">
        <x:f>IF(AND(N$5&lt;=Cronograma!$G47,N$5+6&gt;=Cronograma!$F47),IF(Cronograma!$D47="Hito","◆","■"),"")</x:f>
        <x:v>■</x:v>
      </x:c>
      <x:c r="O46" s="79" t="str">
        <x:f>IF(AND(O$5&lt;=Cronograma!$G47,O$5+6&gt;=Cronograma!$F47),IF(Cronograma!$D47="Hito","◆","■"),"")</x:f>
        <x:v>■</x:v>
      </x:c>
      <x:c r="P46" s="79" t="str">
        <x:f>IF(AND(P$5&lt;=Cronograma!$G47,P$5+6&gt;=Cronograma!$F47),IF(Cronograma!$D47="Hito","◆","■"),"")</x:f>
        <x:v>■</x:v>
      </x:c>
      <x:c r="Q46" s="79" t="str">
        <x:f>IF(AND(Q$5&lt;=Cronograma!$G47,Q$5+6&gt;=Cronograma!$F47),IF(Cronograma!$D47="Hito","◆","■"),"")</x:f>
        <x:v>■</x:v>
      </x:c>
      <x:c r="R46" s="79" t="str">
        <x:f>IF(AND(R$5&lt;=Cronograma!$G47,R$5+6&gt;=Cronograma!$F47),IF(Cronograma!$D47="Hito","◆","■"),"")</x:f>
        <x:v>■</x:v>
      </x:c>
      <x:c r="S46" s="79" t="str">
        <x:f>IF(AND(S$5&lt;=Cronograma!$G47,S$5+6&gt;=Cronograma!$F47),IF(Cronograma!$D47="Hito","◆","■"),"")</x:f>
        <x:v>■</x:v>
      </x:c>
      <x:c r="T46" s="79" t="str">
        <x:f>IF(AND(T$5&lt;=Cronograma!$G47,T$5+6&gt;=Cronograma!$F47),IF(Cronograma!$D47="Hito","◆","■"),"")</x:f>
        <x:v>■</x:v>
      </x:c>
      <x:c r="U46" s="79" t="str">
        <x:f>IF(AND(U$5&lt;=Cronograma!$G47,U$5+6&gt;=Cronograma!$F47),IF(Cronograma!$D47="Hito","◆","■"),"")</x:f>
        <x:v>■</x:v>
      </x:c>
      <x:c r="V46" s="79" t="str">
        <x:f>IF(AND(V$5&lt;=Cronograma!$G47,V$5+6&gt;=Cronograma!$F47),IF(Cronograma!$D47="Hito","◆","■"),"")</x:f>
        <x:v>■</x:v>
      </x:c>
      <x:c r="W46" s="79" t="str">
        <x:f>IF(AND(W$5&lt;=Cronograma!$G47,W$5+6&gt;=Cronograma!$F47),IF(Cronograma!$D47="Hito","◆","■"),"")</x:f>
        <x:v>■</x:v>
      </x:c>
      <x:c r="X46" s="79" t="str">
        <x:f>IF(AND(X$5&lt;=Cronograma!$G47,X$5+6&gt;=Cronograma!$F47),IF(Cronograma!$D47="Hito","◆","■"),"")</x:f>
        <x:v>■</x:v>
      </x:c>
      <x:c r="Y46" s="79" t="str">
        <x:f>IF(AND(Y$5&lt;=Cronograma!$G47,Y$5+6&gt;=Cronograma!$F47),IF(Cronograma!$D47="Hito","◆","■"),"")</x:f>
        <x:v>■</x:v>
      </x:c>
      <x:c r="Z46" s="79" t="str">
        <x:f>IF(AND(Z$5&lt;=Cronograma!$G47,Z$5+6&gt;=Cronograma!$F47),IF(Cronograma!$D47="Hito","◆","■"),"")</x:f>
        <x:v>■</x:v>
      </x:c>
      <x:c r="AA46" s="79" t="str">
        <x:f>IF(AND(AA$5&lt;=Cronograma!$G47,AA$5+6&gt;=Cronograma!$F47),IF(Cronograma!$D47="Hito","◆","■"),"")</x:f>
        <x:v>■</x:v>
      </x:c>
      <x:c r="AB46" s="79" t="str">
        <x:f>IF(AND(AB$5&lt;=Cronograma!$G47,AB$5+6&gt;=Cronograma!$F47),IF(Cronograma!$D47="Hito","◆","■"),"")</x:f>
      </x:c>
      <x:c r="AC46" s="79" t="str">
        <x:f>IF(AND(AC$5&lt;=Cronograma!$G47,AC$5+6&gt;=Cronograma!$F47),IF(Cronograma!$D47="Hito","◆","■"),"")</x:f>
      </x:c>
      <x:c r="AD46" s="79" t="str">
        <x:f>IF(AND(AD$5&lt;=Cronograma!$G47,AD$5+6&gt;=Cronograma!$F47),IF(Cronograma!$D47="Hito","◆","■"),"")</x:f>
      </x:c>
      <x:c r="AE46" s="79" t="str">
        <x:f>IF(AND(AE$5&lt;=Cronograma!$G47,AE$5+6&gt;=Cronograma!$F47),IF(Cronograma!$D47="Hito","◆","■"),"")</x:f>
      </x:c>
      <x:c r="AF46" s="79" t="str">
        <x:f>IF(AND(AF$5&lt;=Cronograma!$G47,AF$5+6&gt;=Cronograma!$F47),IF(Cronograma!$D47="Hito","◆","■"),"")</x:f>
      </x:c>
      <x:c r="AG46" s="79" t="str">
        <x:f>IF(AND(AG$5&lt;=Cronograma!$G47,AG$5+6&gt;=Cronograma!$F47),IF(Cronograma!$D47="Hito","◆","■"),"")</x:f>
      </x:c>
      <x:c r="AH46" s="79" t="str">
        <x:f>IF(AND(AH$5&lt;=Cronograma!$G47,AH$5+6&gt;=Cronograma!$F47),IF(Cronograma!$D47="Hito","◆","■"),"")</x:f>
      </x:c>
      <x:c r="AI46" s="79" t="str">
        <x:f>IF(AND(AI$5&lt;=Cronograma!$G47,AI$5+6&gt;=Cronograma!$F47),IF(Cronograma!$D47="Hito","◆","■"),"")</x:f>
      </x:c>
      <x:c r="AJ46" s="79" t="str">
        <x:f>IF(AND(AJ$5&lt;=Cronograma!$G47,AJ$5+6&gt;=Cronograma!$F47),IF(Cronograma!$D47="Hito","◆","■"),"")</x:f>
      </x:c>
      <x:c r="AK46" s="79" t="str">
        <x:f>IF(AND(AK$5&lt;=Cronograma!$G47,AK$5+6&gt;=Cronograma!$F47),IF(Cronograma!$D47="Hito","◆","■"),"")</x:f>
      </x:c>
      <x:c r="AL46" s="79" t="str">
        <x:f>IF(AND(AL$5&lt;=Cronograma!$G47,AL$5+6&gt;=Cronograma!$F47),IF(Cronograma!$D47="Hito","◆","■"),"")</x:f>
      </x:c>
      <x:c r="AM46" s="79" t="str">
        <x:f>IF(AND(AM$5&lt;=Cronograma!$G47,AM$5+6&gt;=Cronograma!$F47),IF(Cronograma!$D47="Hito","◆","■"),"")</x:f>
      </x:c>
      <x:c r="AN46" s="79" t="str">
        <x:f>IF(AND(AN$5&lt;=Cronograma!$G47,AN$5+6&gt;=Cronograma!$F47),IF(Cronograma!$D47="Hito","◆","■"),"")</x:f>
      </x:c>
      <x:c r="AO46" s="79" t="str">
        <x:f>IF(AND(AO$5&lt;=Cronograma!$G47,AO$5+6&gt;=Cronograma!$F47),IF(Cronograma!$D47="Hito","◆","■"),"")</x:f>
      </x:c>
      <x:c r="AP46" s="79" t="str">
        <x:f>IF(AND(AP$5&lt;=Cronograma!$G47,AP$5+6&gt;=Cronograma!$F47),IF(Cronograma!$D47="Hito","◆","■"),"")</x:f>
      </x:c>
      <x:c r="AQ46" s="79" t="str">
        <x:f>IF(AND(AQ$5&lt;=Cronograma!$G47,AQ$5+6&gt;=Cronograma!$F47),IF(Cronograma!$D47="Hito","◆","■"),"")</x:f>
      </x:c>
      <x:c r="AR46" s="79" t="str">
        <x:f>IF(AND(AR$5&lt;=Cronograma!$G47,AR$5+6&gt;=Cronograma!$F47),IF(Cronograma!$D47="Hito","◆","■"),"")</x:f>
      </x:c>
    </x:row>
    <x:row r="47" ht="25" customHeight="1">
      <x:c r="A47" s="76" t="str">
        <x:f>Cronograma!A48</x:f>
        <x:v>PR-02</x:v>
      </x:c>
      <x:c r="B47" s="76" t="str">
        <x:f>Cronograma!B48</x:f>
        <x:v>Pruebas funcionales y de seguridad</x:v>
      </x:c>
      <x:c r="C47" s="76" t="str">
        <x:f>Cronograma!C48</x:f>
        <x:v>Pruebas de integración</x:v>
      </x:c>
      <x:c r="D47" s="77" t="n">
        <x:f>Cronograma!F48</x:f>
        <x:v>46482</x:v>
      </x:c>
      <x:c r="E47" s="77" t="n">
        <x:f>Cronograma!G48</x:f>
        <x:v>46493</x:v>
      </x:c>
      <x:c r="F47" s="78" t="n">
        <x:f>Cronograma!H48</x:f>
        <x:v>12</x:v>
      </x:c>
      <x:c r="G47" s="79" t="str">
        <x:f>IF(AND(G$5&lt;=Cronograma!$G48,G$5+6&gt;=Cronograma!$F48),IF(Cronograma!$D48="Hito","◆","■"),"")</x:f>
      </x:c>
      <x:c r="H47" s="79" t="str">
        <x:f>IF(AND(H$5&lt;=Cronograma!$G48,H$5+6&gt;=Cronograma!$F48),IF(Cronograma!$D48="Hito","◆","■"),"")</x:f>
      </x:c>
      <x:c r="I47" s="79" t="str">
        <x:f>IF(AND(I$5&lt;=Cronograma!$G48,I$5+6&gt;=Cronograma!$F48),IF(Cronograma!$D48="Hito","◆","■"),"")</x:f>
      </x:c>
      <x:c r="J47" s="79" t="str">
        <x:f>IF(AND(J$5&lt;=Cronograma!$G48,J$5+6&gt;=Cronograma!$F48),IF(Cronograma!$D48="Hito","◆","■"),"")</x:f>
      </x:c>
      <x:c r="K47" s="79" t="str">
        <x:f>IF(AND(K$5&lt;=Cronograma!$G48,K$5+6&gt;=Cronograma!$F48),IF(Cronograma!$D48="Hito","◆","■"),"")</x:f>
      </x:c>
      <x:c r="L47" s="79" t="str">
        <x:f>IF(AND(L$5&lt;=Cronograma!$G48,L$5+6&gt;=Cronograma!$F48),IF(Cronograma!$D48="Hito","◆","■"),"")</x:f>
      </x:c>
      <x:c r="M47" s="79" t="str">
        <x:f>IF(AND(M$5&lt;=Cronograma!$G48,M$5+6&gt;=Cronograma!$F48),IF(Cronograma!$D48="Hito","◆","■"),"")</x:f>
      </x:c>
      <x:c r="N47" s="79" t="str">
        <x:f>IF(AND(N$5&lt;=Cronograma!$G48,N$5+6&gt;=Cronograma!$F48),IF(Cronograma!$D48="Hito","◆","■"),"")</x:f>
      </x:c>
      <x:c r="O47" s="79" t="str">
        <x:f>IF(AND(O$5&lt;=Cronograma!$G48,O$5+6&gt;=Cronograma!$F48),IF(Cronograma!$D48="Hito","◆","■"),"")</x:f>
      </x:c>
      <x:c r="P47" s="79" t="str">
        <x:f>IF(AND(P$5&lt;=Cronograma!$G48,P$5+6&gt;=Cronograma!$F48),IF(Cronograma!$D48="Hito","◆","■"),"")</x:f>
      </x:c>
      <x:c r="Q47" s="79" t="str">
        <x:f>IF(AND(Q$5&lt;=Cronograma!$G48,Q$5+6&gt;=Cronograma!$F48),IF(Cronograma!$D48="Hito","◆","■"),"")</x:f>
      </x:c>
      <x:c r="R47" s="79" t="str">
        <x:f>IF(AND(R$5&lt;=Cronograma!$G48,R$5+6&gt;=Cronograma!$F48),IF(Cronograma!$D48="Hito","◆","■"),"")</x:f>
      </x:c>
      <x:c r="S47" s="79" t="str">
        <x:f>IF(AND(S$5&lt;=Cronograma!$G48,S$5+6&gt;=Cronograma!$F48),IF(Cronograma!$D48="Hito","◆","■"),"")</x:f>
      </x:c>
      <x:c r="T47" s="79" t="str">
        <x:f>IF(AND(T$5&lt;=Cronograma!$G48,T$5+6&gt;=Cronograma!$F48),IF(Cronograma!$D48="Hito","◆","■"),"")</x:f>
      </x:c>
      <x:c r="U47" s="79" t="str">
        <x:f>IF(AND(U$5&lt;=Cronograma!$G48,U$5+6&gt;=Cronograma!$F48),IF(Cronograma!$D48="Hito","◆","■"),"")</x:f>
      </x:c>
      <x:c r="V47" s="79" t="str">
        <x:f>IF(AND(V$5&lt;=Cronograma!$G48,V$5+6&gt;=Cronograma!$F48),IF(Cronograma!$D48="Hito","◆","■"),"")</x:f>
      </x:c>
      <x:c r="W47" s="79" t="str">
        <x:f>IF(AND(W$5&lt;=Cronograma!$G48,W$5+6&gt;=Cronograma!$F48),IF(Cronograma!$D48="Hito","◆","■"),"")</x:f>
      </x:c>
      <x:c r="X47" s="79" t="str">
        <x:f>IF(AND(X$5&lt;=Cronograma!$G48,X$5+6&gt;=Cronograma!$F48),IF(Cronograma!$D48="Hito","◆","■"),"")</x:f>
      </x:c>
      <x:c r="Y47" s="79" t="str">
        <x:f>IF(AND(Y$5&lt;=Cronograma!$G48,Y$5+6&gt;=Cronograma!$F48),IF(Cronograma!$D48="Hito","◆","■"),"")</x:f>
      </x:c>
      <x:c r="Z47" s="79" t="str">
        <x:f>IF(AND(Z$5&lt;=Cronograma!$G48,Z$5+6&gt;=Cronograma!$F48),IF(Cronograma!$D48="Hito","◆","■"),"")</x:f>
      </x:c>
      <x:c r="AA47" s="79" t="str">
        <x:f>IF(AND(AA$5&lt;=Cronograma!$G48,AA$5+6&gt;=Cronograma!$F48),IF(Cronograma!$D48="Hito","◆","■"),"")</x:f>
      </x:c>
      <x:c r="AB47" s="79" t="str">
        <x:f>IF(AND(AB$5&lt;=Cronograma!$G48,AB$5+6&gt;=Cronograma!$F48),IF(Cronograma!$D48="Hito","◆","■"),"")</x:f>
      </x:c>
      <x:c r="AC47" s="79" t="str">
        <x:f>IF(AND(AC$5&lt;=Cronograma!$G48,AC$5+6&gt;=Cronograma!$F48),IF(Cronograma!$D48="Hito","◆","■"),"")</x:f>
      </x:c>
      <x:c r="AD47" s="79" t="str">
        <x:f>IF(AND(AD$5&lt;=Cronograma!$G48,AD$5+6&gt;=Cronograma!$F48),IF(Cronograma!$D48="Hito","◆","■"),"")</x:f>
      </x:c>
      <x:c r="AE47" s="79" t="str">
        <x:f>IF(AND(AE$5&lt;=Cronograma!$G48,AE$5+6&gt;=Cronograma!$F48),IF(Cronograma!$D48="Hito","◆","■"),"")</x:f>
      </x:c>
      <x:c r="AF47" s="79" t="str">
        <x:f>IF(AND(AF$5&lt;=Cronograma!$G48,AF$5+6&gt;=Cronograma!$F48),IF(Cronograma!$D48="Hito","◆","■"),"")</x:f>
      </x:c>
      <x:c r="AG47" s="79" t="str">
        <x:f>IF(AND(AG$5&lt;=Cronograma!$G48,AG$5+6&gt;=Cronograma!$F48),IF(Cronograma!$D48="Hito","◆","■"),"")</x:f>
      </x:c>
      <x:c r="AH47" s="79" t="str">
        <x:f>IF(AND(AH$5&lt;=Cronograma!$G48,AH$5+6&gt;=Cronograma!$F48),IF(Cronograma!$D48="Hito","◆","■"),"")</x:f>
      </x:c>
      <x:c r="AI47" s="79" t="str">
        <x:f>IF(AND(AI$5&lt;=Cronograma!$G48,AI$5+6&gt;=Cronograma!$F48),IF(Cronograma!$D48="Hito","◆","■"),"")</x:f>
      </x:c>
      <x:c r="AJ47" s="79" t="str">
        <x:f>IF(AND(AJ$5&lt;=Cronograma!$G48,AJ$5+6&gt;=Cronograma!$F48),IF(Cronograma!$D48="Hito","◆","■"),"")</x:f>
      </x:c>
      <x:c r="AK47" s="79" t="str">
        <x:f>IF(AND(AK$5&lt;=Cronograma!$G48,AK$5+6&gt;=Cronograma!$F48),IF(Cronograma!$D48="Hito","◆","■"),"")</x:f>
        <x:v>■</x:v>
      </x:c>
      <x:c r="AL47" s="79" t="str">
        <x:f>IF(AND(AL$5&lt;=Cronograma!$G48,AL$5+6&gt;=Cronograma!$F48),IF(Cronograma!$D48="Hito","◆","■"),"")</x:f>
        <x:v>■</x:v>
      </x:c>
      <x:c r="AM47" s="79" t="str">
        <x:f>IF(AND(AM$5&lt;=Cronograma!$G48,AM$5+6&gt;=Cronograma!$F48),IF(Cronograma!$D48="Hito","◆","■"),"")</x:f>
      </x:c>
      <x:c r="AN47" s="79" t="str">
        <x:f>IF(AND(AN$5&lt;=Cronograma!$G48,AN$5+6&gt;=Cronograma!$F48),IF(Cronograma!$D48="Hito","◆","■"),"")</x:f>
      </x:c>
      <x:c r="AO47" s="79" t="str">
        <x:f>IF(AND(AO$5&lt;=Cronograma!$G48,AO$5+6&gt;=Cronograma!$F48),IF(Cronograma!$D48="Hito","◆","■"),"")</x:f>
      </x:c>
      <x:c r="AP47" s="79" t="str">
        <x:f>IF(AND(AP$5&lt;=Cronograma!$G48,AP$5+6&gt;=Cronograma!$F48),IF(Cronograma!$D48="Hito","◆","■"),"")</x:f>
      </x:c>
      <x:c r="AQ47" s="79" t="str">
        <x:f>IF(AND(AQ$5&lt;=Cronograma!$G48,AQ$5+6&gt;=Cronograma!$F48),IF(Cronograma!$D48="Hito","◆","■"),"")</x:f>
      </x:c>
      <x:c r="AR47" s="79" t="str">
        <x:f>IF(AND(AR$5&lt;=Cronograma!$G48,AR$5+6&gt;=Cronograma!$F48),IF(Cronograma!$D48="Hito","◆","■"),"")</x:f>
      </x:c>
    </x:row>
    <x:row r="48" ht="25" customHeight="1">
      <x:c r="A48" s="76" t="str">
        <x:f>Cronograma!A49</x:f>
        <x:v>PR-03</x:v>
      </x:c>
      <x:c r="B48" s="76" t="str">
        <x:f>Cronograma!B49</x:f>
        <x:v>Pruebas funcionales y de seguridad</x:v>
      </x:c>
      <x:c r="C48" s="76" t="str">
        <x:f>Cronograma!C49</x:f>
        <x:v>Pruebas funcionales</x:v>
      </x:c>
      <x:c r="D48" s="77" t="n">
        <x:f>Cronograma!F49</x:f>
        <x:v>46489</x:v>
      </x:c>
      <x:c r="E48" s="77" t="n">
        <x:f>Cronograma!G49</x:f>
        <x:v>46507</x:v>
      </x:c>
      <x:c r="F48" s="78" t="n">
        <x:f>Cronograma!H49</x:f>
        <x:v>19</x:v>
      </x:c>
      <x:c r="G48" s="79" t="str">
        <x:f>IF(AND(G$5&lt;=Cronograma!$G49,G$5+6&gt;=Cronograma!$F49),IF(Cronograma!$D49="Hito","◆","■"),"")</x:f>
      </x:c>
      <x:c r="H48" s="79" t="str">
        <x:f>IF(AND(H$5&lt;=Cronograma!$G49,H$5+6&gt;=Cronograma!$F49),IF(Cronograma!$D49="Hito","◆","■"),"")</x:f>
      </x:c>
      <x:c r="I48" s="79" t="str">
        <x:f>IF(AND(I$5&lt;=Cronograma!$G49,I$5+6&gt;=Cronograma!$F49),IF(Cronograma!$D49="Hito","◆","■"),"")</x:f>
      </x:c>
      <x:c r="J48" s="79" t="str">
        <x:f>IF(AND(J$5&lt;=Cronograma!$G49,J$5+6&gt;=Cronograma!$F49),IF(Cronograma!$D49="Hito","◆","■"),"")</x:f>
      </x:c>
      <x:c r="K48" s="79" t="str">
        <x:f>IF(AND(K$5&lt;=Cronograma!$G49,K$5+6&gt;=Cronograma!$F49),IF(Cronograma!$D49="Hito","◆","■"),"")</x:f>
      </x:c>
      <x:c r="L48" s="79" t="str">
        <x:f>IF(AND(L$5&lt;=Cronograma!$G49,L$5+6&gt;=Cronograma!$F49),IF(Cronograma!$D49="Hito","◆","■"),"")</x:f>
      </x:c>
      <x:c r="M48" s="79" t="str">
        <x:f>IF(AND(M$5&lt;=Cronograma!$G49,M$5+6&gt;=Cronograma!$F49),IF(Cronograma!$D49="Hito","◆","■"),"")</x:f>
      </x:c>
      <x:c r="N48" s="79" t="str">
        <x:f>IF(AND(N$5&lt;=Cronograma!$G49,N$5+6&gt;=Cronograma!$F49),IF(Cronograma!$D49="Hito","◆","■"),"")</x:f>
      </x:c>
      <x:c r="O48" s="79" t="str">
        <x:f>IF(AND(O$5&lt;=Cronograma!$G49,O$5+6&gt;=Cronograma!$F49),IF(Cronograma!$D49="Hito","◆","■"),"")</x:f>
      </x:c>
      <x:c r="P48" s="79" t="str">
        <x:f>IF(AND(P$5&lt;=Cronograma!$G49,P$5+6&gt;=Cronograma!$F49),IF(Cronograma!$D49="Hito","◆","■"),"")</x:f>
      </x:c>
      <x:c r="Q48" s="79" t="str">
        <x:f>IF(AND(Q$5&lt;=Cronograma!$G49,Q$5+6&gt;=Cronograma!$F49),IF(Cronograma!$D49="Hito","◆","■"),"")</x:f>
      </x:c>
      <x:c r="R48" s="79" t="str">
        <x:f>IF(AND(R$5&lt;=Cronograma!$G49,R$5+6&gt;=Cronograma!$F49),IF(Cronograma!$D49="Hito","◆","■"),"")</x:f>
      </x:c>
      <x:c r="S48" s="79" t="str">
        <x:f>IF(AND(S$5&lt;=Cronograma!$G49,S$5+6&gt;=Cronograma!$F49),IF(Cronograma!$D49="Hito","◆","■"),"")</x:f>
      </x:c>
      <x:c r="T48" s="79" t="str">
        <x:f>IF(AND(T$5&lt;=Cronograma!$G49,T$5+6&gt;=Cronograma!$F49),IF(Cronograma!$D49="Hito","◆","■"),"")</x:f>
      </x:c>
      <x:c r="U48" s="79" t="str">
        <x:f>IF(AND(U$5&lt;=Cronograma!$G49,U$5+6&gt;=Cronograma!$F49),IF(Cronograma!$D49="Hito","◆","■"),"")</x:f>
      </x:c>
      <x:c r="V48" s="79" t="str">
        <x:f>IF(AND(V$5&lt;=Cronograma!$G49,V$5+6&gt;=Cronograma!$F49),IF(Cronograma!$D49="Hito","◆","■"),"")</x:f>
      </x:c>
      <x:c r="W48" s="79" t="str">
        <x:f>IF(AND(W$5&lt;=Cronograma!$G49,W$5+6&gt;=Cronograma!$F49),IF(Cronograma!$D49="Hito","◆","■"),"")</x:f>
      </x:c>
      <x:c r="X48" s="79" t="str">
        <x:f>IF(AND(X$5&lt;=Cronograma!$G49,X$5+6&gt;=Cronograma!$F49),IF(Cronograma!$D49="Hito","◆","■"),"")</x:f>
      </x:c>
      <x:c r="Y48" s="79" t="str">
        <x:f>IF(AND(Y$5&lt;=Cronograma!$G49,Y$5+6&gt;=Cronograma!$F49),IF(Cronograma!$D49="Hito","◆","■"),"")</x:f>
      </x:c>
      <x:c r="Z48" s="79" t="str">
        <x:f>IF(AND(Z$5&lt;=Cronograma!$G49,Z$5+6&gt;=Cronograma!$F49),IF(Cronograma!$D49="Hito","◆","■"),"")</x:f>
      </x:c>
      <x:c r="AA48" s="79" t="str">
        <x:f>IF(AND(AA$5&lt;=Cronograma!$G49,AA$5+6&gt;=Cronograma!$F49),IF(Cronograma!$D49="Hito","◆","■"),"")</x:f>
      </x:c>
      <x:c r="AB48" s="79" t="str">
        <x:f>IF(AND(AB$5&lt;=Cronograma!$G49,AB$5+6&gt;=Cronograma!$F49),IF(Cronograma!$D49="Hito","◆","■"),"")</x:f>
      </x:c>
      <x:c r="AC48" s="79" t="str">
        <x:f>IF(AND(AC$5&lt;=Cronograma!$G49,AC$5+6&gt;=Cronograma!$F49),IF(Cronograma!$D49="Hito","◆","■"),"")</x:f>
      </x:c>
      <x:c r="AD48" s="79" t="str">
        <x:f>IF(AND(AD$5&lt;=Cronograma!$G49,AD$5+6&gt;=Cronograma!$F49),IF(Cronograma!$D49="Hito","◆","■"),"")</x:f>
      </x:c>
      <x:c r="AE48" s="79" t="str">
        <x:f>IF(AND(AE$5&lt;=Cronograma!$G49,AE$5+6&gt;=Cronograma!$F49),IF(Cronograma!$D49="Hito","◆","■"),"")</x:f>
      </x:c>
      <x:c r="AF48" s="79" t="str">
        <x:f>IF(AND(AF$5&lt;=Cronograma!$G49,AF$5+6&gt;=Cronograma!$F49),IF(Cronograma!$D49="Hito","◆","■"),"")</x:f>
      </x:c>
      <x:c r="AG48" s="79" t="str">
        <x:f>IF(AND(AG$5&lt;=Cronograma!$G49,AG$5+6&gt;=Cronograma!$F49),IF(Cronograma!$D49="Hito","◆","■"),"")</x:f>
      </x:c>
      <x:c r="AH48" s="79" t="str">
        <x:f>IF(AND(AH$5&lt;=Cronograma!$G49,AH$5+6&gt;=Cronograma!$F49),IF(Cronograma!$D49="Hito","◆","■"),"")</x:f>
      </x:c>
      <x:c r="AI48" s="79" t="str">
        <x:f>IF(AND(AI$5&lt;=Cronograma!$G49,AI$5+6&gt;=Cronograma!$F49),IF(Cronograma!$D49="Hito","◆","■"),"")</x:f>
      </x:c>
      <x:c r="AJ48" s="79" t="str">
        <x:f>IF(AND(AJ$5&lt;=Cronograma!$G49,AJ$5+6&gt;=Cronograma!$F49),IF(Cronograma!$D49="Hito","◆","■"),"")</x:f>
      </x:c>
      <x:c r="AK48" s="79" t="str">
        <x:f>IF(AND(AK$5&lt;=Cronograma!$G49,AK$5+6&gt;=Cronograma!$F49),IF(Cronograma!$D49="Hito","◆","■"),"")</x:f>
      </x:c>
      <x:c r="AL48" s="79" t="str">
        <x:f>IF(AND(AL$5&lt;=Cronograma!$G49,AL$5+6&gt;=Cronograma!$F49),IF(Cronograma!$D49="Hito","◆","■"),"")</x:f>
        <x:v>■</x:v>
      </x:c>
      <x:c r="AM48" s="79" t="str">
        <x:f>IF(AND(AM$5&lt;=Cronograma!$G49,AM$5+6&gt;=Cronograma!$F49),IF(Cronograma!$D49="Hito","◆","■"),"")</x:f>
        <x:v>■</x:v>
      </x:c>
      <x:c r="AN48" s="79" t="str">
        <x:f>IF(AND(AN$5&lt;=Cronograma!$G49,AN$5+6&gt;=Cronograma!$F49),IF(Cronograma!$D49="Hito","◆","■"),"")</x:f>
        <x:v>■</x:v>
      </x:c>
      <x:c r="AO48" s="79" t="str">
        <x:f>IF(AND(AO$5&lt;=Cronograma!$G49,AO$5+6&gt;=Cronograma!$F49),IF(Cronograma!$D49="Hito","◆","■"),"")</x:f>
      </x:c>
      <x:c r="AP48" s="79" t="str">
        <x:f>IF(AND(AP$5&lt;=Cronograma!$G49,AP$5+6&gt;=Cronograma!$F49),IF(Cronograma!$D49="Hito","◆","■"),"")</x:f>
      </x:c>
      <x:c r="AQ48" s="79" t="str">
        <x:f>IF(AND(AQ$5&lt;=Cronograma!$G49,AQ$5+6&gt;=Cronograma!$F49),IF(Cronograma!$D49="Hito","◆","■"),"")</x:f>
      </x:c>
      <x:c r="AR48" s="79" t="str">
        <x:f>IF(AND(AR$5&lt;=Cronograma!$G49,AR$5+6&gt;=Cronograma!$F49),IF(Cronograma!$D49="Hito","◆","■"),"")</x:f>
      </x:c>
    </x:row>
    <x:row r="49" ht="25" customHeight="1">
      <x:c r="A49" s="80" t="str">
        <x:f>Cronograma!A50</x:f>
        <x:v>PR-H5</x:v>
      </x:c>
      <x:c r="B49" s="80" t="str">
        <x:f>Cronograma!B50</x:f>
        <x:v>Pruebas funcionales y de seguridad</x:v>
      </x:c>
      <x:c r="C49" s="80" t="str">
        <x:f>Cronograma!C50</x:f>
        <x:v>Hito: versión candidata aprobada</x:v>
      </x:c>
      <x:c r="D49" s="81" t="n">
        <x:f>Cronograma!F50</x:f>
        <x:v>46507</x:v>
      </x:c>
      <x:c r="E49" s="81" t="n">
        <x:f>Cronograma!G50</x:f>
        <x:v>46507</x:v>
      </x:c>
      <x:c r="F49" s="82" t="n">
        <x:f>Cronograma!H50</x:f>
        <x:v>1</x:v>
      </x:c>
      <x:c r="G49" s="83" t="str">
        <x:f>IF(AND(G$5&lt;=Cronograma!$G50,G$5+6&gt;=Cronograma!$F50),IF(Cronograma!$D50="Hito","◆","■"),"")</x:f>
      </x:c>
      <x:c r="H49" s="83" t="str">
        <x:f>IF(AND(H$5&lt;=Cronograma!$G50,H$5+6&gt;=Cronograma!$F50),IF(Cronograma!$D50="Hito","◆","■"),"")</x:f>
      </x:c>
      <x:c r="I49" s="83" t="str">
        <x:f>IF(AND(I$5&lt;=Cronograma!$G50,I$5+6&gt;=Cronograma!$F50),IF(Cronograma!$D50="Hito","◆","■"),"")</x:f>
      </x:c>
      <x:c r="J49" s="83" t="str">
        <x:f>IF(AND(J$5&lt;=Cronograma!$G50,J$5+6&gt;=Cronograma!$F50),IF(Cronograma!$D50="Hito","◆","■"),"")</x:f>
      </x:c>
      <x:c r="K49" s="83" t="str">
        <x:f>IF(AND(K$5&lt;=Cronograma!$G50,K$5+6&gt;=Cronograma!$F50),IF(Cronograma!$D50="Hito","◆","■"),"")</x:f>
      </x:c>
      <x:c r="L49" s="83" t="str">
        <x:f>IF(AND(L$5&lt;=Cronograma!$G50,L$5+6&gt;=Cronograma!$F50),IF(Cronograma!$D50="Hito","◆","■"),"")</x:f>
      </x:c>
      <x:c r="M49" s="83" t="str">
        <x:f>IF(AND(M$5&lt;=Cronograma!$G50,M$5+6&gt;=Cronograma!$F50),IF(Cronograma!$D50="Hito","◆","■"),"")</x:f>
      </x:c>
      <x:c r="N49" s="83" t="str">
        <x:f>IF(AND(N$5&lt;=Cronograma!$G50,N$5+6&gt;=Cronograma!$F50),IF(Cronograma!$D50="Hito","◆","■"),"")</x:f>
      </x:c>
      <x:c r="O49" s="83" t="str">
        <x:f>IF(AND(O$5&lt;=Cronograma!$G50,O$5+6&gt;=Cronograma!$F50),IF(Cronograma!$D50="Hito","◆","■"),"")</x:f>
      </x:c>
      <x:c r="P49" s="83" t="str">
        <x:f>IF(AND(P$5&lt;=Cronograma!$G50,P$5+6&gt;=Cronograma!$F50),IF(Cronograma!$D50="Hito","◆","■"),"")</x:f>
      </x:c>
      <x:c r="Q49" s="83" t="str">
        <x:f>IF(AND(Q$5&lt;=Cronograma!$G50,Q$5+6&gt;=Cronograma!$F50),IF(Cronograma!$D50="Hito","◆","■"),"")</x:f>
      </x:c>
      <x:c r="R49" s="83" t="str">
        <x:f>IF(AND(R$5&lt;=Cronograma!$G50,R$5+6&gt;=Cronograma!$F50),IF(Cronograma!$D50="Hito","◆","■"),"")</x:f>
      </x:c>
      <x:c r="S49" s="83" t="str">
        <x:f>IF(AND(S$5&lt;=Cronograma!$G50,S$5+6&gt;=Cronograma!$F50),IF(Cronograma!$D50="Hito","◆","■"),"")</x:f>
      </x:c>
      <x:c r="T49" s="83" t="str">
        <x:f>IF(AND(T$5&lt;=Cronograma!$G50,T$5+6&gt;=Cronograma!$F50),IF(Cronograma!$D50="Hito","◆","■"),"")</x:f>
      </x:c>
      <x:c r="U49" s="83" t="str">
        <x:f>IF(AND(U$5&lt;=Cronograma!$G50,U$5+6&gt;=Cronograma!$F50),IF(Cronograma!$D50="Hito","◆","■"),"")</x:f>
      </x:c>
      <x:c r="V49" s="83" t="str">
        <x:f>IF(AND(V$5&lt;=Cronograma!$G50,V$5+6&gt;=Cronograma!$F50),IF(Cronograma!$D50="Hito","◆","■"),"")</x:f>
      </x:c>
      <x:c r="W49" s="83" t="str">
        <x:f>IF(AND(W$5&lt;=Cronograma!$G50,W$5+6&gt;=Cronograma!$F50),IF(Cronograma!$D50="Hito","◆","■"),"")</x:f>
      </x:c>
      <x:c r="X49" s="83" t="str">
        <x:f>IF(AND(X$5&lt;=Cronograma!$G50,X$5+6&gt;=Cronograma!$F50),IF(Cronograma!$D50="Hito","◆","■"),"")</x:f>
      </x:c>
      <x:c r="Y49" s="83" t="str">
        <x:f>IF(AND(Y$5&lt;=Cronograma!$G50,Y$5+6&gt;=Cronograma!$F50),IF(Cronograma!$D50="Hito","◆","■"),"")</x:f>
      </x:c>
      <x:c r="Z49" s="83" t="str">
        <x:f>IF(AND(Z$5&lt;=Cronograma!$G50,Z$5+6&gt;=Cronograma!$F50),IF(Cronograma!$D50="Hito","◆","■"),"")</x:f>
      </x:c>
      <x:c r="AA49" s="83" t="str">
        <x:f>IF(AND(AA$5&lt;=Cronograma!$G50,AA$5+6&gt;=Cronograma!$F50),IF(Cronograma!$D50="Hito","◆","■"),"")</x:f>
      </x:c>
      <x:c r="AB49" s="83" t="str">
        <x:f>IF(AND(AB$5&lt;=Cronograma!$G50,AB$5+6&gt;=Cronograma!$F50),IF(Cronograma!$D50="Hito","◆","■"),"")</x:f>
      </x:c>
      <x:c r="AC49" s="83" t="str">
        <x:f>IF(AND(AC$5&lt;=Cronograma!$G50,AC$5+6&gt;=Cronograma!$F50),IF(Cronograma!$D50="Hito","◆","■"),"")</x:f>
      </x:c>
      <x:c r="AD49" s="83" t="str">
        <x:f>IF(AND(AD$5&lt;=Cronograma!$G50,AD$5+6&gt;=Cronograma!$F50),IF(Cronograma!$D50="Hito","◆","■"),"")</x:f>
      </x:c>
      <x:c r="AE49" s="83" t="str">
        <x:f>IF(AND(AE$5&lt;=Cronograma!$G50,AE$5+6&gt;=Cronograma!$F50),IF(Cronograma!$D50="Hito","◆","■"),"")</x:f>
      </x:c>
      <x:c r="AF49" s="83" t="str">
        <x:f>IF(AND(AF$5&lt;=Cronograma!$G50,AF$5+6&gt;=Cronograma!$F50),IF(Cronograma!$D50="Hito","◆","■"),"")</x:f>
      </x:c>
      <x:c r="AG49" s="83" t="str">
        <x:f>IF(AND(AG$5&lt;=Cronograma!$G50,AG$5+6&gt;=Cronograma!$F50),IF(Cronograma!$D50="Hito","◆","■"),"")</x:f>
      </x:c>
      <x:c r="AH49" s="83" t="str">
        <x:f>IF(AND(AH$5&lt;=Cronograma!$G50,AH$5+6&gt;=Cronograma!$F50),IF(Cronograma!$D50="Hito","◆","■"),"")</x:f>
      </x:c>
      <x:c r="AI49" s="83" t="str">
        <x:f>IF(AND(AI$5&lt;=Cronograma!$G50,AI$5+6&gt;=Cronograma!$F50),IF(Cronograma!$D50="Hito","◆","■"),"")</x:f>
      </x:c>
      <x:c r="AJ49" s="83" t="str">
        <x:f>IF(AND(AJ$5&lt;=Cronograma!$G50,AJ$5+6&gt;=Cronograma!$F50),IF(Cronograma!$D50="Hito","◆","■"),"")</x:f>
      </x:c>
      <x:c r="AK49" s="83" t="str">
        <x:f>IF(AND(AK$5&lt;=Cronograma!$G50,AK$5+6&gt;=Cronograma!$F50),IF(Cronograma!$D50="Hito","◆","■"),"")</x:f>
      </x:c>
      <x:c r="AL49" s="83" t="str">
        <x:f>IF(AND(AL$5&lt;=Cronograma!$G50,AL$5+6&gt;=Cronograma!$F50),IF(Cronograma!$D50="Hito","◆","■"),"")</x:f>
      </x:c>
      <x:c r="AM49" s="83" t="str">
        <x:f>IF(AND(AM$5&lt;=Cronograma!$G50,AM$5+6&gt;=Cronograma!$F50),IF(Cronograma!$D50="Hito","◆","■"),"")</x:f>
      </x:c>
      <x:c r="AN49" s="83" t="str">
        <x:f>IF(AND(AN$5&lt;=Cronograma!$G50,AN$5+6&gt;=Cronograma!$F50),IF(Cronograma!$D50="Hito","◆","■"),"")</x:f>
        <x:v>◆</x:v>
      </x:c>
      <x:c r="AO49" s="83" t="str">
        <x:f>IF(AND(AO$5&lt;=Cronograma!$G50,AO$5+6&gt;=Cronograma!$F50),IF(Cronograma!$D50="Hito","◆","■"),"")</x:f>
      </x:c>
      <x:c r="AP49" s="83" t="str">
        <x:f>IF(AND(AP$5&lt;=Cronograma!$G50,AP$5+6&gt;=Cronograma!$F50),IF(Cronograma!$D50="Hito","◆","■"),"")</x:f>
      </x:c>
      <x:c r="AQ49" s="83" t="str">
        <x:f>IF(AND(AQ$5&lt;=Cronograma!$G50,AQ$5+6&gt;=Cronograma!$F50),IF(Cronograma!$D50="Hito","◆","■"),"")</x:f>
      </x:c>
      <x:c r="AR49" s="83" t="str">
        <x:f>IF(AND(AR$5&lt;=Cronograma!$G50,AR$5+6&gt;=Cronograma!$F50),IF(Cronograma!$D50="Hito","◆","■"),"")</x:f>
      </x:c>
    </x:row>
    <x:row r="50" ht="25" customHeight="1">
      <x:c r="A50" s="76" t="str">
        <x:f>Cronograma!A51</x:f>
        <x:v>QA-01</x:v>
      </x:c>
      <x:c r="B50" s="76" t="str">
        <x:f>Cronograma!B51</x:f>
        <x:v>Despliegue en ambiente QA</x:v>
      </x:c>
      <x:c r="C50" s="76" t="str">
        <x:f>Cronograma!C51</x:f>
        <x:v>Despliegue en ambiente QA</x:v>
      </x:c>
      <x:c r="D50" s="77" t="n">
        <x:f>Cronograma!F51</x:f>
        <x:v>46489</x:v>
      </x:c>
      <x:c r="E50" s="77" t="n">
        <x:f>Cronograma!G51</x:f>
        <x:v>46491</x:v>
      </x:c>
      <x:c r="F50" s="78" t="n">
        <x:f>Cronograma!H51</x:f>
        <x:v>3</x:v>
      </x:c>
      <x:c r="G50" s="79" t="str">
        <x:f>IF(AND(G$5&lt;=Cronograma!$G51,G$5+6&gt;=Cronograma!$F51),IF(Cronograma!$D51="Hito","◆","■"),"")</x:f>
      </x:c>
      <x:c r="H50" s="79" t="str">
        <x:f>IF(AND(H$5&lt;=Cronograma!$G51,H$5+6&gt;=Cronograma!$F51),IF(Cronograma!$D51="Hito","◆","■"),"")</x:f>
      </x:c>
      <x:c r="I50" s="79" t="str">
        <x:f>IF(AND(I$5&lt;=Cronograma!$G51,I$5+6&gt;=Cronograma!$F51),IF(Cronograma!$D51="Hito","◆","■"),"")</x:f>
      </x:c>
      <x:c r="J50" s="79" t="str">
        <x:f>IF(AND(J$5&lt;=Cronograma!$G51,J$5+6&gt;=Cronograma!$F51),IF(Cronograma!$D51="Hito","◆","■"),"")</x:f>
      </x:c>
      <x:c r="K50" s="79" t="str">
        <x:f>IF(AND(K$5&lt;=Cronograma!$G51,K$5+6&gt;=Cronograma!$F51),IF(Cronograma!$D51="Hito","◆","■"),"")</x:f>
      </x:c>
      <x:c r="L50" s="79" t="str">
        <x:f>IF(AND(L$5&lt;=Cronograma!$G51,L$5+6&gt;=Cronograma!$F51),IF(Cronograma!$D51="Hito","◆","■"),"")</x:f>
      </x:c>
      <x:c r="M50" s="79" t="str">
        <x:f>IF(AND(M$5&lt;=Cronograma!$G51,M$5+6&gt;=Cronograma!$F51),IF(Cronograma!$D51="Hito","◆","■"),"")</x:f>
      </x:c>
      <x:c r="N50" s="79" t="str">
        <x:f>IF(AND(N$5&lt;=Cronograma!$G51,N$5+6&gt;=Cronograma!$F51),IF(Cronograma!$D51="Hito","◆","■"),"")</x:f>
      </x:c>
      <x:c r="O50" s="79" t="str">
        <x:f>IF(AND(O$5&lt;=Cronograma!$G51,O$5+6&gt;=Cronograma!$F51),IF(Cronograma!$D51="Hito","◆","■"),"")</x:f>
      </x:c>
      <x:c r="P50" s="79" t="str">
        <x:f>IF(AND(P$5&lt;=Cronograma!$G51,P$5+6&gt;=Cronograma!$F51),IF(Cronograma!$D51="Hito","◆","■"),"")</x:f>
      </x:c>
      <x:c r="Q50" s="79" t="str">
        <x:f>IF(AND(Q$5&lt;=Cronograma!$G51,Q$5+6&gt;=Cronograma!$F51),IF(Cronograma!$D51="Hito","◆","■"),"")</x:f>
      </x:c>
      <x:c r="R50" s="79" t="str">
        <x:f>IF(AND(R$5&lt;=Cronograma!$G51,R$5+6&gt;=Cronograma!$F51),IF(Cronograma!$D51="Hito","◆","■"),"")</x:f>
      </x:c>
      <x:c r="S50" s="79" t="str">
        <x:f>IF(AND(S$5&lt;=Cronograma!$G51,S$5+6&gt;=Cronograma!$F51),IF(Cronograma!$D51="Hito","◆","■"),"")</x:f>
      </x:c>
      <x:c r="T50" s="79" t="str">
        <x:f>IF(AND(T$5&lt;=Cronograma!$G51,T$5+6&gt;=Cronograma!$F51),IF(Cronograma!$D51="Hito","◆","■"),"")</x:f>
      </x:c>
      <x:c r="U50" s="79" t="str">
        <x:f>IF(AND(U$5&lt;=Cronograma!$G51,U$5+6&gt;=Cronograma!$F51),IF(Cronograma!$D51="Hito","◆","■"),"")</x:f>
      </x:c>
      <x:c r="V50" s="79" t="str">
        <x:f>IF(AND(V$5&lt;=Cronograma!$G51,V$5+6&gt;=Cronograma!$F51),IF(Cronograma!$D51="Hito","◆","■"),"")</x:f>
      </x:c>
      <x:c r="W50" s="79" t="str">
        <x:f>IF(AND(W$5&lt;=Cronograma!$G51,W$5+6&gt;=Cronograma!$F51),IF(Cronograma!$D51="Hito","◆","■"),"")</x:f>
      </x:c>
      <x:c r="X50" s="79" t="str">
        <x:f>IF(AND(X$5&lt;=Cronograma!$G51,X$5+6&gt;=Cronograma!$F51),IF(Cronograma!$D51="Hito","◆","■"),"")</x:f>
      </x:c>
      <x:c r="Y50" s="79" t="str">
        <x:f>IF(AND(Y$5&lt;=Cronograma!$G51,Y$5+6&gt;=Cronograma!$F51),IF(Cronograma!$D51="Hito","◆","■"),"")</x:f>
      </x:c>
      <x:c r="Z50" s="79" t="str">
        <x:f>IF(AND(Z$5&lt;=Cronograma!$G51,Z$5+6&gt;=Cronograma!$F51),IF(Cronograma!$D51="Hito","◆","■"),"")</x:f>
      </x:c>
      <x:c r="AA50" s="79" t="str">
        <x:f>IF(AND(AA$5&lt;=Cronograma!$G51,AA$5+6&gt;=Cronograma!$F51),IF(Cronograma!$D51="Hito","◆","■"),"")</x:f>
      </x:c>
      <x:c r="AB50" s="79" t="str">
        <x:f>IF(AND(AB$5&lt;=Cronograma!$G51,AB$5+6&gt;=Cronograma!$F51),IF(Cronograma!$D51="Hito","◆","■"),"")</x:f>
      </x:c>
      <x:c r="AC50" s="79" t="str">
        <x:f>IF(AND(AC$5&lt;=Cronograma!$G51,AC$5+6&gt;=Cronograma!$F51),IF(Cronograma!$D51="Hito","◆","■"),"")</x:f>
      </x:c>
      <x:c r="AD50" s="79" t="str">
        <x:f>IF(AND(AD$5&lt;=Cronograma!$G51,AD$5+6&gt;=Cronograma!$F51),IF(Cronograma!$D51="Hito","◆","■"),"")</x:f>
      </x:c>
      <x:c r="AE50" s="79" t="str">
        <x:f>IF(AND(AE$5&lt;=Cronograma!$G51,AE$5+6&gt;=Cronograma!$F51),IF(Cronograma!$D51="Hito","◆","■"),"")</x:f>
      </x:c>
      <x:c r="AF50" s="79" t="str">
        <x:f>IF(AND(AF$5&lt;=Cronograma!$G51,AF$5+6&gt;=Cronograma!$F51),IF(Cronograma!$D51="Hito","◆","■"),"")</x:f>
      </x:c>
      <x:c r="AG50" s="79" t="str">
        <x:f>IF(AND(AG$5&lt;=Cronograma!$G51,AG$5+6&gt;=Cronograma!$F51),IF(Cronograma!$D51="Hito","◆","■"),"")</x:f>
      </x:c>
      <x:c r="AH50" s="79" t="str">
        <x:f>IF(AND(AH$5&lt;=Cronograma!$G51,AH$5+6&gt;=Cronograma!$F51),IF(Cronograma!$D51="Hito","◆","■"),"")</x:f>
      </x:c>
      <x:c r="AI50" s="79" t="str">
        <x:f>IF(AND(AI$5&lt;=Cronograma!$G51,AI$5+6&gt;=Cronograma!$F51),IF(Cronograma!$D51="Hito","◆","■"),"")</x:f>
      </x:c>
      <x:c r="AJ50" s="79" t="str">
        <x:f>IF(AND(AJ$5&lt;=Cronograma!$G51,AJ$5+6&gt;=Cronograma!$F51),IF(Cronograma!$D51="Hito","◆","■"),"")</x:f>
      </x:c>
      <x:c r="AK50" s="79" t="str">
        <x:f>IF(AND(AK$5&lt;=Cronograma!$G51,AK$5+6&gt;=Cronograma!$F51),IF(Cronograma!$D51="Hito","◆","■"),"")</x:f>
      </x:c>
      <x:c r="AL50" s="79" t="str">
        <x:f>IF(AND(AL$5&lt;=Cronograma!$G51,AL$5+6&gt;=Cronograma!$F51),IF(Cronograma!$D51="Hito","◆","■"),"")</x:f>
        <x:v>■</x:v>
      </x:c>
      <x:c r="AM50" s="79" t="str">
        <x:f>IF(AND(AM$5&lt;=Cronograma!$G51,AM$5+6&gt;=Cronograma!$F51),IF(Cronograma!$D51="Hito","◆","■"),"")</x:f>
      </x:c>
      <x:c r="AN50" s="79" t="str">
        <x:f>IF(AND(AN$5&lt;=Cronograma!$G51,AN$5+6&gt;=Cronograma!$F51),IF(Cronograma!$D51="Hito","◆","■"),"")</x:f>
      </x:c>
      <x:c r="AO50" s="79" t="str">
        <x:f>IF(AND(AO$5&lt;=Cronograma!$G51,AO$5+6&gt;=Cronograma!$F51),IF(Cronograma!$D51="Hito","◆","■"),"")</x:f>
      </x:c>
      <x:c r="AP50" s="79" t="str">
        <x:f>IF(AND(AP$5&lt;=Cronograma!$G51,AP$5+6&gt;=Cronograma!$F51),IF(Cronograma!$D51="Hito","◆","■"),"")</x:f>
      </x:c>
      <x:c r="AQ50" s="79" t="str">
        <x:f>IF(AND(AQ$5&lt;=Cronograma!$G51,AQ$5+6&gt;=Cronograma!$F51),IF(Cronograma!$D51="Hito","◆","■"),"")</x:f>
      </x:c>
      <x:c r="AR50" s="79" t="str">
        <x:f>IF(AND(AR$5&lt;=Cronograma!$G51,AR$5+6&gt;=Cronograma!$F51),IF(Cronograma!$D51="Hito","◆","■"),"")</x:f>
      </x:c>
    </x:row>
    <x:row r="51" ht="25" customHeight="1">
      <x:c r="A51" s="76" t="str">
        <x:f>Cronograma!A52</x:f>
        <x:v>QA-02</x:v>
      </x:c>
      <x:c r="B51" s="76" t="str">
        <x:f>Cronograma!B52</x:f>
        <x:v>Despliegue en ambiente QA</x:v>
      </x:c>
      <x:c r="C51" s="76" t="str">
        <x:f>Cronograma!C52</x:f>
        <x:v>Validación y aceptación del cliente</x:v>
      </x:c>
      <x:c r="D51" s="77" t="n">
        <x:f>Cronograma!F52</x:f>
        <x:v>46510</x:v>
      </x:c>
      <x:c r="E51" s="77" t="n">
        <x:f>Cronograma!G52</x:f>
        <x:v>46525</x:v>
      </x:c>
      <x:c r="F51" s="78" t="n">
        <x:f>Cronograma!H52</x:f>
        <x:v>16</x:v>
      </x:c>
      <x:c r="G51" s="79" t="str">
        <x:f>IF(AND(G$5&lt;=Cronograma!$G52,G$5+6&gt;=Cronograma!$F52),IF(Cronograma!$D52="Hito","◆","■"),"")</x:f>
      </x:c>
      <x:c r="H51" s="79" t="str">
        <x:f>IF(AND(H$5&lt;=Cronograma!$G52,H$5+6&gt;=Cronograma!$F52),IF(Cronograma!$D52="Hito","◆","■"),"")</x:f>
      </x:c>
      <x:c r="I51" s="79" t="str">
        <x:f>IF(AND(I$5&lt;=Cronograma!$G52,I$5+6&gt;=Cronograma!$F52),IF(Cronograma!$D52="Hito","◆","■"),"")</x:f>
      </x:c>
      <x:c r="J51" s="79" t="str">
        <x:f>IF(AND(J$5&lt;=Cronograma!$G52,J$5+6&gt;=Cronograma!$F52),IF(Cronograma!$D52="Hito","◆","■"),"")</x:f>
      </x:c>
      <x:c r="K51" s="79" t="str">
        <x:f>IF(AND(K$5&lt;=Cronograma!$G52,K$5+6&gt;=Cronograma!$F52),IF(Cronograma!$D52="Hito","◆","■"),"")</x:f>
      </x:c>
      <x:c r="L51" s="79" t="str">
        <x:f>IF(AND(L$5&lt;=Cronograma!$G52,L$5+6&gt;=Cronograma!$F52),IF(Cronograma!$D52="Hito","◆","■"),"")</x:f>
      </x:c>
      <x:c r="M51" s="79" t="str">
        <x:f>IF(AND(M$5&lt;=Cronograma!$G52,M$5+6&gt;=Cronograma!$F52),IF(Cronograma!$D52="Hito","◆","■"),"")</x:f>
      </x:c>
      <x:c r="N51" s="79" t="str">
        <x:f>IF(AND(N$5&lt;=Cronograma!$G52,N$5+6&gt;=Cronograma!$F52),IF(Cronograma!$D52="Hito","◆","■"),"")</x:f>
      </x:c>
      <x:c r="O51" s="79" t="str">
        <x:f>IF(AND(O$5&lt;=Cronograma!$G52,O$5+6&gt;=Cronograma!$F52),IF(Cronograma!$D52="Hito","◆","■"),"")</x:f>
      </x:c>
      <x:c r="P51" s="79" t="str">
        <x:f>IF(AND(P$5&lt;=Cronograma!$G52,P$5+6&gt;=Cronograma!$F52),IF(Cronograma!$D52="Hito","◆","■"),"")</x:f>
      </x:c>
      <x:c r="Q51" s="79" t="str">
        <x:f>IF(AND(Q$5&lt;=Cronograma!$G52,Q$5+6&gt;=Cronograma!$F52),IF(Cronograma!$D52="Hito","◆","■"),"")</x:f>
      </x:c>
      <x:c r="R51" s="79" t="str">
        <x:f>IF(AND(R$5&lt;=Cronograma!$G52,R$5+6&gt;=Cronograma!$F52),IF(Cronograma!$D52="Hito","◆","■"),"")</x:f>
      </x:c>
      <x:c r="S51" s="79" t="str">
        <x:f>IF(AND(S$5&lt;=Cronograma!$G52,S$5+6&gt;=Cronograma!$F52),IF(Cronograma!$D52="Hito","◆","■"),"")</x:f>
      </x:c>
      <x:c r="T51" s="79" t="str">
        <x:f>IF(AND(T$5&lt;=Cronograma!$G52,T$5+6&gt;=Cronograma!$F52),IF(Cronograma!$D52="Hito","◆","■"),"")</x:f>
      </x:c>
      <x:c r="U51" s="79" t="str">
        <x:f>IF(AND(U$5&lt;=Cronograma!$G52,U$5+6&gt;=Cronograma!$F52),IF(Cronograma!$D52="Hito","◆","■"),"")</x:f>
      </x:c>
      <x:c r="V51" s="79" t="str">
        <x:f>IF(AND(V$5&lt;=Cronograma!$G52,V$5+6&gt;=Cronograma!$F52),IF(Cronograma!$D52="Hito","◆","■"),"")</x:f>
      </x:c>
      <x:c r="W51" s="79" t="str">
        <x:f>IF(AND(W$5&lt;=Cronograma!$G52,W$5+6&gt;=Cronograma!$F52),IF(Cronograma!$D52="Hito","◆","■"),"")</x:f>
      </x:c>
      <x:c r="X51" s="79" t="str">
        <x:f>IF(AND(X$5&lt;=Cronograma!$G52,X$5+6&gt;=Cronograma!$F52),IF(Cronograma!$D52="Hito","◆","■"),"")</x:f>
      </x:c>
      <x:c r="Y51" s="79" t="str">
        <x:f>IF(AND(Y$5&lt;=Cronograma!$G52,Y$5+6&gt;=Cronograma!$F52),IF(Cronograma!$D52="Hito","◆","■"),"")</x:f>
      </x:c>
      <x:c r="Z51" s="79" t="str">
        <x:f>IF(AND(Z$5&lt;=Cronograma!$G52,Z$5+6&gt;=Cronograma!$F52),IF(Cronograma!$D52="Hito","◆","■"),"")</x:f>
      </x:c>
      <x:c r="AA51" s="79" t="str">
        <x:f>IF(AND(AA$5&lt;=Cronograma!$G52,AA$5+6&gt;=Cronograma!$F52),IF(Cronograma!$D52="Hito","◆","■"),"")</x:f>
      </x:c>
      <x:c r="AB51" s="79" t="str">
        <x:f>IF(AND(AB$5&lt;=Cronograma!$G52,AB$5+6&gt;=Cronograma!$F52),IF(Cronograma!$D52="Hito","◆","■"),"")</x:f>
      </x:c>
      <x:c r="AC51" s="79" t="str">
        <x:f>IF(AND(AC$5&lt;=Cronograma!$G52,AC$5+6&gt;=Cronograma!$F52),IF(Cronograma!$D52="Hito","◆","■"),"")</x:f>
      </x:c>
      <x:c r="AD51" s="79" t="str">
        <x:f>IF(AND(AD$5&lt;=Cronograma!$G52,AD$5+6&gt;=Cronograma!$F52),IF(Cronograma!$D52="Hito","◆","■"),"")</x:f>
      </x:c>
      <x:c r="AE51" s="79" t="str">
        <x:f>IF(AND(AE$5&lt;=Cronograma!$G52,AE$5+6&gt;=Cronograma!$F52),IF(Cronograma!$D52="Hito","◆","■"),"")</x:f>
      </x:c>
      <x:c r="AF51" s="79" t="str">
        <x:f>IF(AND(AF$5&lt;=Cronograma!$G52,AF$5+6&gt;=Cronograma!$F52),IF(Cronograma!$D52="Hito","◆","■"),"")</x:f>
      </x:c>
      <x:c r="AG51" s="79" t="str">
        <x:f>IF(AND(AG$5&lt;=Cronograma!$G52,AG$5+6&gt;=Cronograma!$F52),IF(Cronograma!$D52="Hito","◆","■"),"")</x:f>
      </x:c>
      <x:c r="AH51" s="79" t="str">
        <x:f>IF(AND(AH$5&lt;=Cronograma!$G52,AH$5+6&gt;=Cronograma!$F52),IF(Cronograma!$D52="Hito","◆","■"),"")</x:f>
      </x:c>
      <x:c r="AI51" s="79" t="str">
        <x:f>IF(AND(AI$5&lt;=Cronograma!$G52,AI$5+6&gt;=Cronograma!$F52),IF(Cronograma!$D52="Hito","◆","■"),"")</x:f>
      </x:c>
      <x:c r="AJ51" s="79" t="str">
        <x:f>IF(AND(AJ$5&lt;=Cronograma!$G52,AJ$5+6&gt;=Cronograma!$F52),IF(Cronograma!$D52="Hito","◆","■"),"")</x:f>
      </x:c>
      <x:c r="AK51" s="79" t="str">
        <x:f>IF(AND(AK$5&lt;=Cronograma!$G52,AK$5+6&gt;=Cronograma!$F52),IF(Cronograma!$D52="Hito","◆","■"),"")</x:f>
      </x:c>
      <x:c r="AL51" s="79" t="str">
        <x:f>IF(AND(AL$5&lt;=Cronograma!$G52,AL$5+6&gt;=Cronograma!$F52),IF(Cronograma!$D52="Hito","◆","■"),"")</x:f>
      </x:c>
      <x:c r="AM51" s="79" t="str">
        <x:f>IF(AND(AM$5&lt;=Cronograma!$G52,AM$5+6&gt;=Cronograma!$F52),IF(Cronograma!$D52="Hito","◆","■"),"")</x:f>
      </x:c>
      <x:c r="AN51" s="79" t="str">
        <x:f>IF(AND(AN$5&lt;=Cronograma!$G52,AN$5+6&gt;=Cronograma!$F52),IF(Cronograma!$D52="Hito","◆","■"),"")</x:f>
      </x:c>
      <x:c r="AO51" s="79" t="str">
        <x:f>IF(AND(AO$5&lt;=Cronograma!$G52,AO$5+6&gt;=Cronograma!$F52),IF(Cronograma!$D52="Hito","◆","■"),"")</x:f>
        <x:v>■</x:v>
      </x:c>
      <x:c r="AP51" s="79" t="str">
        <x:f>IF(AND(AP$5&lt;=Cronograma!$G52,AP$5+6&gt;=Cronograma!$F52),IF(Cronograma!$D52="Hito","◆","■"),"")</x:f>
        <x:v>■</x:v>
      </x:c>
      <x:c r="AQ51" s="79" t="str">
        <x:f>IF(AND(AQ$5&lt;=Cronograma!$G52,AQ$5+6&gt;=Cronograma!$F52),IF(Cronograma!$D52="Hito","◆","■"),"")</x:f>
        <x:v>■</x:v>
      </x:c>
      <x:c r="AR51" s="79" t="str">
        <x:f>IF(AND(AR$5&lt;=Cronograma!$G52,AR$5+6&gt;=Cronograma!$F52),IF(Cronograma!$D52="Hito","◆","■"),"")</x:f>
      </x:c>
    </x:row>
    <x:row r="52" ht="25" customHeight="1">
      <x:c r="A52" s="80" t="str">
        <x:f>Cronograma!A53</x:f>
        <x:v>QA-H6</x:v>
      </x:c>
      <x:c r="B52" s="80" t="str">
        <x:f>Cronograma!B53</x:f>
        <x:v>Despliegue en ambiente QA</x:v>
      </x:c>
      <x:c r="C52" s="80" t="str">
        <x:f>Cronograma!C53</x:f>
        <x:v>Hito: autorización para PROD</x:v>
      </x:c>
      <x:c r="D52" s="81" t="n">
        <x:f>Cronograma!F53</x:f>
        <x:v>46525</x:v>
      </x:c>
      <x:c r="E52" s="81" t="n">
        <x:f>Cronograma!G53</x:f>
        <x:v>46525</x:v>
      </x:c>
      <x:c r="F52" s="82" t="n">
        <x:f>Cronograma!H53</x:f>
        <x:v>1</x:v>
      </x:c>
      <x:c r="G52" s="83" t="str">
        <x:f>IF(AND(G$5&lt;=Cronograma!$G53,G$5+6&gt;=Cronograma!$F53),IF(Cronograma!$D53="Hito","◆","■"),"")</x:f>
      </x:c>
      <x:c r="H52" s="83" t="str">
        <x:f>IF(AND(H$5&lt;=Cronograma!$G53,H$5+6&gt;=Cronograma!$F53),IF(Cronograma!$D53="Hito","◆","■"),"")</x:f>
      </x:c>
      <x:c r="I52" s="83" t="str">
        <x:f>IF(AND(I$5&lt;=Cronograma!$G53,I$5+6&gt;=Cronograma!$F53),IF(Cronograma!$D53="Hito","◆","■"),"")</x:f>
      </x:c>
      <x:c r="J52" s="83" t="str">
        <x:f>IF(AND(J$5&lt;=Cronograma!$G53,J$5+6&gt;=Cronograma!$F53),IF(Cronograma!$D53="Hito","◆","■"),"")</x:f>
      </x:c>
      <x:c r="K52" s="83" t="str">
        <x:f>IF(AND(K$5&lt;=Cronograma!$G53,K$5+6&gt;=Cronograma!$F53),IF(Cronograma!$D53="Hito","◆","■"),"")</x:f>
      </x:c>
      <x:c r="L52" s="83" t="str">
        <x:f>IF(AND(L$5&lt;=Cronograma!$G53,L$5+6&gt;=Cronograma!$F53),IF(Cronograma!$D53="Hito","◆","■"),"")</x:f>
      </x:c>
      <x:c r="M52" s="83" t="str">
        <x:f>IF(AND(M$5&lt;=Cronograma!$G53,M$5+6&gt;=Cronograma!$F53),IF(Cronograma!$D53="Hito","◆","■"),"")</x:f>
      </x:c>
      <x:c r="N52" s="83" t="str">
        <x:f>IF(AND(N$5&lt;=Cronograma!$G53,N$5+6&gt;=Cronograma!$F53),IF(Cronograma!$D53="Hito","◆","■"),"")</x:f>
      </x:c>
      <x:c r="O52" s="83" t="str">
        <x:f>IF(AND(O$5&lt;=Cronograma!$G53,O$5+6&gt;=Cronograma!$F53),IF(Cronograma!$D53="Hito","◆","■"),"")</x:f>
      </x:c>
      <x:c r="P52" s="83" t="str">
        <x:f>IF(AND(P$5&lt;=Cronograma!$G53,P$5+6&gt;=Cronograma!$F53),IF(Cronograma!$D53="Hito","◆","■"),"")</x:f>
      </x:c>
      <x:c r="Q52" s="83" t="str">
        <x:f>IF(AND(Q$5&lt;=Cronograma!$G53,Q$5+6&gt;=Cronograma!$F53),IF(Cronograma!$D53="Hito","◆","■"),"")</x:f>
      </x:c>
      <x:c r="R52" s="83" t="str">
        <x:f>IF(AND(R$5&lt;=Cronograma!$G53,R$5+6&gt;=Cronograma!$F53),IF(Cronograma!$D53="Hito","◆","■"),"")</x:f>
      </x:c>
      <x:c r="S52" s="83" t="str">
        <x:f>IF(AND(S$5&lt;=Cronograma!$G53,S$5+6&gt;=Cronograma!$F53),IF(Cronograma!$D53="Hito","◆","■"),"")</x:f>
      </x:c>
      <x:c r="T52" s="83" t="str">
        <x:f>IF(AND(T$5&lt;=Cronograma!$G53,T$5+6&gt;=Cronograma!$F53),IF(Cronograma!$D53="Hito","◆","■"),"")</x:f>
      </x:c>
      <x:c r="U52" s="83" t="str">
        <x:f>IF(AND(U$5&lt;=Cronograma!$G53,U$5+6&gt;=Cronograma!$F53),IF(Cronograma!$D53="Hito","◆","■"),"")</x:f>
      </x:c>
      <x:c r="V52" s="83" t="str">
        <x:f>IF(AND(V$5&lt;=Cronograma!$G53,V$5+6&gt;=Cronograma!$F53),IF(Cronograma!$D53="Hito","◆","■"),"")</x:f>
      </x:c>
      <x:c r="W52" s="83" t="str">
        <x:f>IF(AND(W$5&lt;=Cronograma!$G53,W$5+6&gt;=Cronograma!$F53),IF(Cronograma!$D53="Hito","◆","■"),"")</x:f>
      </x:c>
      <x:c r="X52" s="83" t="str">
        <x:f>IF(AND(X$5&lt;=Cronograma!$G53,X$5+6&gt;=Cronograma!$F53),IF(Cronograma!$D53="Hito","◆","■"),"")</x:f>
      </x:c>
      <x:c r="Y52" s="83" t="str">
        <x:f>IF(AND(Y$5&lt;=Cronograma!$G53,Y$5+6&gt;=Cronograma!$F53),IF(Cronograma!$D53="Hito","◆","■"),"")</x:f>
      </x:c>
      <x:c r="Z52" s="83" t="str">
        <x:f>IF(AND(Z$5&lt;=Cronograma!$G53,Z$5+6&gt;=Cronograma!$F53),IF(Cronograma!$D53="Hito","◆","■"),"")</x:f>
      </x:c>
      <x:c r="AA52" s="83" t="str">
        <x:f>IF(AND(AA$5&lt;=Cronograma!$G53,AA$5+6&gt;=Cronograma!$F53),IF(Cronograma!$D53="Hito","◆","■"),"")</x:f>
      </x:c>
      <x:c r="AB52" s="83" t="str">
        <x:f>IF(AND(AB$5&lt;=Cronograma!$G53,AB$5+6&gt;=Cronograma!$F53),IF(Cronograma!$D53="Hito","◆","■"),"")</x:f>
      </x:c>
      <x:c r="AC52" s="83" t="str">
        <x:f>IF(AND(AC$5&lt;=Cronograma!$G53,AC$5+6&gt;=Cronograma!$F53),IF(Cronograma!$D53="Hito","◆","■"),"")</x:f>
      </x:c>
      <x:c r="AD52" s="83" t="str">
        <x:f>IF(AND(AD$5&lt;=Cronograma!$G53,AD$5+6&gt;=Cronograma!$F53),IF(Cronograma!$D53="Hito","◆","■"),"")</x:f>
      </x:c>
      <x:c r="AE52" s="83" t="str">
        <x:f>IF(AND(AE$5&lt;=Cronograma!$G53,AE$5+6&gt;=Cronograma!$F53),IF(Cronograma!$D53="Hito","◆","■"),"")</x:f>
      </x:c>
      <x:c r="AF52" s="83" t="str">
        <x:f>IF(AND(AF$5&lt;=Cronograma!$G53,AF$5+6&gt;=Cronograma!$F53),IF(Cronograma!$D53="Hito","◆","■"),"")</x:f>
      </x:c>
      <x:c r="AG52" s="83" t="str">
        <x:f>IF(AND(AG$5&lt;=Cronograma!$G53,AG$5+6&gt;=Cronograma!$F53),IF(Cronograma!$D53="Hito","◆","■"),"")</x:f>
      </x:c>
      <x:c r="AH52" s="83" t="str">
        <x:f>IF(AND(AH$5&lt;=Cronograma!$G53,AH$5+6&gt;=Cronograma!$F53),IF(Cronograma!$D53="Hito","◆","■"),"")</x:f>
      </x:c>
      <x:c r="AI52" s="83" t="str">
        <x:f>IF(AND(AI$5&lt;=Cronograma!$G53,AI$5+6&gt;=Cronograma!$F53),IF(Cronograma!$D53="Hito","◆","■"),"")</x:f>
      </x:c>
      <x:c r="AJ52" s="83" t="str">
        <x:f>IF(AND(AJ$5&lt;=Cronograma!$G53,AJ$5+6&gt;=Cronograma!$F53),IF(Cronograma!$D53="Hito","◆","■"),"")</x:f>
      </x:c>
      <x:c r="AK52" s="83" t="str">
        <x:f>IF(AND(AK$5&lt;=Cronograma!$G53,AK$5+6&gt;=Cronograma!$F53),IF(Cronograma!$D53="Hito","◆","■"),"")</x:f>
      </x:c>
      <x:c r="AL52" s="83" t="str">
        <x:f>IF(AND(AL$5&lt;=Cronograma!$G53,AL$5+6&gt;=Cronograma!$F53),IF(Cronograma!$D53="Hito","◆","■"),"")</x:f>
      </x:c>
      <x:c r="AM52" s="83" t="str">
        <x:f>IF(AND(AM$5&lt;=Cronograma!$G53,AM$5+6&gt;=Cronograma!$F53),IF(Cronograma!$D53="Hito","◆","■"),"")</x:f>
      </x:c>
      <x:c r="AN52" s="83" t="str">
        <x:f>IF(AND(AN$5&lt;=Cronograma!$G53,AN$5+6&gt;=Cronograma!$F53),IF(Cronograma!$D53="Hito","◆","■"),"")</x:f>
      </x:c>
      <x:c r="AO52" s="83" t="str">
        <x:f>IF(AND(AO$5&lt;=Cronograma!$G53,AO$5+6&gt;=Cronograma!$F53),IF(Cronograma!$D53="Hito","◆","■"),"")</x:f>
      </x:c>
      <x:c r="AP52" s="83" t="str">
        <x:f>IF(AND(AP$5&lt;=Cronograma!$G53,AP$5+6&gt;=Cronograma!$F53),IF(Cronograma!$D53="Hito","◆","■"),"")</x:f>
      </x:c>
      <x:c r="AQ52" s="83" t="str">
        <x:f>IF(AND(AQ$5&lt;=Cronograma!$G53,AQ$5+6&gt;=Cronograma!$F53),IF(Cronograma!$D53="Hito","◆","■"),"")</x:f>
        <x:v>◆</x:v>
      </x:c>
      <x:c r="AR52" s="83" t="str">
        <x:f>IF(AND(AR$5&lt;=Cronograma!$G53,AR$5+6&gt;=Cronograma!$F53),IF(Cronograma!$D53="Hito","◆","■"),"")</x:f>
      </x:c>
    </x:row>
    <x:row r="53" ht="25" customHeight="1">
      <x:c r="A53" s="76" t="str">
        <x:f>Cronograma!A54</x:f>
        <x:v>PD-01</x:v>
      </x:c>
      <x:c r="B53" s="76" t="str">
        <x:f>Cronograma!B54</x:f>
        <x:v>Despliegue en ambiente PROD</x:v>
      </x:c>
      <x:c r="C53" s="76" t="str">
        <x:f>Cronograma!C54</x:f>
        <x:v>Despliegue en ambiente PROD</x:v>
      </x:c>
      <x:c r="D53" s="77" t="n">
        <x:f>Cronograma!F54</x:f>
        <x:v>46527</x:v>
      </x:c>
      <x:c r="E53" s="77" t="n">
        <x:f>Cronograma!G54</x:f>
        <x:v>46531</x:v>
      </x:c>
      <x:c r="F53" s="78" t="n">
        <x:f>Cronograma!H54</x:f>
        <x:v>5</x:v>
      </x:c>
      <x:c r="G53" s="79" t="str">
        <x:f>IF(AND(G$5&lt;=Cronograma!$G54,G$5+6&gt;=Cronograma!$F54),IF(Cronograma!$D54="Hito","◆","■"),"")</x:f>
      </x:c>
      <x:c r="H53" s="79" t="str">
        <x:f>IF(AND(H$5&lt;=Cronograma!$G54,H$5+6&gt;=Cronograma!$F54),IF(Cronograma!$D54="Hito","◆","■"),"")</x:f>
      </x:c>
      <x:c r="I53" s="79" t="str">
        <x:f>IF(AND(I$5&lt;=Cronograma!$G54,I$5+6&gt;=Cronograma!$F54),IF(Cronograma!$D54="Hito","◆","■"),"")</x:f>
      </x:c>
      <x:c r="J53" s="79" t="str">
        <x:f>IF(AND(J$5&lt;=Cronograma!$G54,J$5+6&gt;=Cronograma!$F54),IF(Cronograma!$D54="Hito","◆","■"),"")</x:f>
      </x:c>
      <x:c r="K53" s="79" t="str">
        <x:f>IF(AND(K$5&lt;=Cronograma!$G54,K$5+6&gt;=Cronograma!$F54),IF(Cronograma!$D54="Hito","◆","■"),"")</x:f>
      </x:c>
      <x:c r="L53" s="79" t="str">
        <x:f>IF(AND(L$5&lt;=Cronograma!$G54,L$5+6&gt;=Cronograma!$F54),IF(Cronograma!$D54="Hito","◆","■"),"")</x:f>
      </x:c>
      <x:c r="M53" s="79" t="str">
        <x:f>IF(AND(M$5&lt;=Cronograma!$G54,M$5+6&gt;=Cronograma!$F54),IF(Cronograma!$D54="Hito","◆","■"),"")</x:f>
      </x:c>
      <x:c r="N53" s="79" t="str">
        <x:f>IF(AND(N$5&lt;=Cronograma!$G54,N$5+6&gt;=Cronograma!$F54),IF(Cronograma!$D54="Hito","◆","■"),"")</x:f>
      </x:c>
      <x:c r="O53" s="79" t="str">
        <x:f>IF(AND(O$5&lt;=Cronograma!$G54,O$5+6&gt;=Cronograma!$F54),IF(Cronograma!$D54="Hito","◆","■"),"")</x:f>
      </x:c>
      <x:c r="P53" s="79" t="str">
        <x:f>IF(AND(P$5&lt;=Cronograma!$G54,P$5+6&gt;=Cronograma!$F54),IF(Cronograma!$D54="Hito","◆","■"),"")</x:f>
      </x:c>
      <x:c r="Q53" s="79" t="str">
        <x:f>IF(AND(Q$5&lt;=Cronograma!$G54,Q$5+6&gt;=Cronograma!$F54),IF(Cronograma!$D54="Hito","◆","■"),"")</x:f>
      </x:c>
      <x:c r="R53" s="79" t="str">
        <x:f>IF(AND(R$5&lt;=Cronograma!$G54,R$5+6&gt;=Cronograma!$F54),IF(Cronograma!$D54="Hito","◆","■"),"")</x:f>
      </x:c>
      <x:c r="S53" s="79" t="str">
        <x:f>IF(AND(S$5&lt;=Cronograma!$G54,S$5+6&gt;=Cronograma!$F54),IF(Cronograma!$D54="Hito","◆","■"),"")</x:f>
      </x:c>
      <x:c r="T53" s="79" t="str">
        <x:f>IF(AND(T$5&lt;=Cronograma!$G54,T$5+6&gt;=Cronograma!$F54),IF(Cronograma!$D54="Hito","◆","■"),"")</x:f>
      </x:c>
      <x:c r="U53" s="79" t="str">
        <x:f>IF(AND(U$5&lt;=Cronograma!$G54,U$5+6&gt;=Cronograma!$F54),IF(Cronograma!$D54="Hito","◆","■"),"")</x:f>
      </x:c>
      <x:c r="V53" s="79" t="str">
        <x:f>IF(AND(V$5&lt;=Cronograma!$G54,V$5+6&gt;=Cronograma!$F54),IF(Cronograma!$D54="Hito","◆","■"),"")</x:f>
      </x:c>
      <x:c r="W53" s="79" t="str">
        <x:f>IF(AND(W$5&lt;=Cronograma!$G54,W$5+6&gt;=Cronograma!$F54),IF(Cronograma!$D54="Hito","◆","■"),"")</x:f>
      </x:c>
      <x:c r="X53" s="79" t="str">
        <x:f>IF(AND(X$5&lt;=Cronograma!$G54,X$5+6&gt;=Cronograma!$F54),IF(Cronograma!$D54="Hito","◆","■"),"")</x:f>
      </x:c>
      <x:c r="Y53" s="79" t="str">
        <x:f>IF(AND(Y$5&lt;=Cronograma!$G54,Y$5+6&gt;=Cronograma!$F54),IF(Cronograma!$D54="Hito","◆","■"),"")</x:f>
      </x:c>
      <x:c r="Z53" s="79" t="str">
        <x:f>IF(AND(Z$5&lt;=Cronograma!$G54,Z$5+6&gt;=Cronograma!$F54),IF(Cronograma!$D54="Hito","◆","■"),"")</x:f>
      </x:c>
      <x:c r="AA53" s="79" t="str">
        <x:f>IF(AND(AA$5&lt;=Cronograma!$G54,AA$5+6&gt;=Cronograma!$F54),IF(Cronograma!$D54="Hito","◆","■"),"")</x:f>
      </x:c>
      <x:c r="AB53" s="79" t="str">
        <x:f>IF(AND(AB$5&lt;=Cronograma!$G54,AB$5+6&gt;=Cronograma!$F54),IF(Cronograma!$D54="Hito","◆","■"),"")</x:f>
      </x:c>
      <x:c r="AC53" s="79" t="str">
        <x:f>IF(AND(AC$5&lt;=Cronograma!$G54,AC$5+6&gt;=Cronograma!$F54),IF(Cronograma!$D54="Hito","◆","■"),"")</x:f>
      </x:c>
      <x:c r="AD53" s="79" t="str">
        <x:f>IF(AND(AD$5&lt;=Cronograma!$G54,AD$5+6&gt;=Cronograma!$F54),IF(Cronograma!$D54="Hito","◆","■"),"")</x:f>
      </x:c>
      <x:c r="AE53" s="79" t="str">
        <x:f>IF(AND(AE$5&lt;=Cronograma!$G54,AE$5+6&gt;=Cronograma!$F54),IF(Cronograma!$D54="Hito","◆","■"),"")</x:f>
      </x:c>
      <x:c r="AF53" s="79" t="str">
        <x:f>IF(AND(AF$5&lt;=Cronograma!$G54,AF$5+6&gt;=Cronograma!$F54),IF(Cronograma!$D54="Hito","◆","■"),"")</x:f>
      </x:c>
      <x:c r="AG53" s="79" t="str">
        <x:f>IF(AND(AG$5&lt;=Cronograma!$G54,AG$5+6&gt;=Cronograma!$F54),IF(Cronograma!$D54="Hito","◆","■"),"")</x:f>
      </x:c>
      <x:c r="AH53" s="79" t="str">
        <x:f>IF(AND(AH$5&lt;=Cronograma!$G54,AH$5+6&gt;=Cronograma!$F54),IF(Cronograma!$D54="Hito","◆","■"),"")</x:f>
      </x:c>
      <x:c r="AI53" s="79" t="str">
        <x:f>IF(AND(AI$5&lt;=Cronograma!$G54,AI$5+6&gt;=Cronograma!$F54),IF(Cronograma!$D54="Hito","◆","■"),"")</x:f>
      </x:c>
      <x:c r="AJ53" s="79" t="str">
        <x:f>IF(AND(AJ$5&lt;=Cronograma!$G54,AJ$5+6&gt;=Cronograma!$F54),IF(Cronograma!$D54="Hito","◆","■"),"")</x:f>
      </x:c>
      <x:c r="AK53" s="79" t="str">
        <x:f>IF(AND(AK$5&lt;=Cronograma!$G54,AK$5+6&gt;=Cronograma!$F54),IF(Cronograma!$D54="Hito","◆","■"),"")</x:f>
      </x:c>
      <x:c r="AL53" s="79" t="str">
        <x:f>IF(AND(AL$5&lt;=Cronograma!$G54,AL$5+6&gt;=Cronograma!$F54),IF(Cronograma!$D54="Hito","◆","■"),"")</x:f>
      </x:c>
      <x:c r="AM53" s="79" t="str">
        <x:f>IF(AND(AM$5&lt;=Cronograma!$G54,AM$5+6&gt;=Cronograma!$F54),IF(Cronograma!$D54="Hito","◆","■"),"")</x:f>
      </x:c>
      <x:c r="AN53" s="79" t="str">
        <x:f>IF(AND(AN$5&lt;=Cronograma!$G54,AN$5+6&gt;=Cronograma!$F54),IF(Cronograma!$D54="Hito","◆","■"),"")</x:f>
      </x:c>
      <x:c r="AO53" s="79" t="str">
        <x:f>IF(AND(AO$5&lt;=Cronograma!$G54,AO$5+6&gt;=Cronograma!$F54),IF(Cronograma!$D54="Hito","◆","■"),"")</x:f>
      </x:c>
      <x:c r="AP53" s="79" t="str">
        <x:f>IF(AND(AP$5&lt;=Cronograma!$G54,AP$5+6&gt;=Cronograma!$F54),IF(Cronograma!$D54="Hito","◆","■"),"")</x:f>
      </x:c>
      <x:c r="AQ53" s="79" t="str">
        <x:f>IF(AND(AQ$5&lt;=Cronograma!$G54,AQ$5+6&gt;=Cronograma!$F54),IF(Cronograma!$D54="Hito","◆","■"),"")</x:f>
        <x:v>■</x:v>
      </x:c>
      <x:c r="AR53" s="79" t="str">
        <x:f>IF(AND(AR$5&lt;=Cronograma!$G54,AR$5+6&gt;=Cronograma!$F54),IF(Cronograma!$D54="Hito","◆","■"),"")</x:f>
        <x:v>■</x:v>
      </x:c>
    </x:row>
    <x:row r="54" ht="25" customHeight="1">
      <x:c r="A54" s="76" t="str">
        <x:f>Cronograma!A55</x:f>
        <x:v>PD-02</x:v>
      </x:c>
      <x:c r="B54" s="76" t="str">
        <x:f>Cronograma!B55</x:f>
        <x:v>Despliegue en ambiente PROD</x:v>
      </x:c>
      <x:c r="C54" s="76" t="str">
        <x:f>Cronograma!C55</x:f>
        <x:v>Verificación en producción</x:v>
      </x:c>
      <x:c r="D54" s="77" t="n">
        <x:f>Cronograma!F55</x:f>
        <x:v>46531</x:v>
      </x:c>
      <x:c r="E54" s="77" t="n">
        <x:f>Cronograma!G55</x:f>
        <x:v>46535</x:v>
      </x:c>
      <x:c r="F54" s="78" t="n">
        <x:f>Cronograma!H55</x:f>
        <x:v>5</x:v>
      </x:c>
      <x:c r="G54" s="79" t="str">
        <x:f>IF(AND(G$5&lt;=Cronograma!$G55,G$5+6&gt;=Cronograma!$F55),IF(Cronograma!$D55="Hito","◆","■"),"")</x:f>
      </x:c>
      <x:c r="H54" s="79" t="str">
        <x:f>IF(AND(H$5&lt;=Cronograma!$G55,H$5+6&gt;=Cronograma!$F55),IF(Cronograma!$D55="Hito","◆","■"),"")</x:f>
      </x:c>
      <x:c r="I54" s="79" t="str">
        <x:f>IF(AND(I$5&lt;=Cronograma!$G55,I$5+6&gt;=Cronograma!$F55),IF(Cronograma!$D55="Hito","◆","■"),"")</x:f>
      </x:c>
      <x:c r="J54" s="79" t="str">
        <x:f>IF(AND(J$5&lt;=Cronograma!$G55,J$5+6&gt;=Cronograma!$F55),IF(Cronograma!$D55="Hito","◆","■"),"")</x:f>
      </x:c>
      <x:c r="K54" s="79" t="str">
        <x:f>IF(AND(K$5&lt;=Cronograma!$G55,K$5+6&gt;=Cronograma!$F55),IF(Cronograma!$D55="Hito","◆","■"),"")</x:f>
      </x:c>
      <x:c r="L54" s="79" t="str">
        <x:f>IF(AND(L$5&lt;=Cronograma!$G55,L$5+6&gt;=Cronograma!$F55),IF(Cronograma!$D55="Hito","◆","■"),"")</x:f>
      </x:c>
      <x:c r="M54" s="79" t="str">
        <x:f>IF(AND(M$5&lt;=Cronograma!$G55,M$5+6&gt;=Cronograma!$F55),IF(Cronograma!$D55="Hito","◆","■"),"")</x:f>
      </x:c>
      <x:c r="N54" s="79" t="str">
        <x:f>IF(AND(N$5&lt;=Cronograma!$G55,N$5+6&gt;=Cronograma!$F55),IF(Cronograma!$D55="Hito","◆","■"),"")</x:f>
      </x:c>
      <x:c r="O54" s="79" t="str">
        <x:f>IF(AND(O$5&lt;=Cronograma!$G55,O$5+6&gt;=Cronograma!$F55),IF(Cronograma!$D55="Hito","◆","■"),"")</x:f>
      </x:c>
      <x:c r="P54" s="79" t="str">
        <x:f>IF(AND(P$5&lt;=Cronograma!$G55,P$5+6&gt;=Cronograma!$F55),IF(Cronograma!$D55="Hito","◆","■"),"")</x:f>
      </x:c>
      <x:c r="Q54" s="79" t="str">
        <x:f>IF(AND(Q$5&lt;=Cronograma!$G55,Q$5+6&gt;=Cronograma!$F55),IF(Cronograma!$D55="Hito","◆","■"),"")</x:f>
      </x:c>
      <x:c r="R54" s="79" t="str">
        <x:f>IF(AND(R$5&lt;=Cronograma!$G55,R$5+6&gt;=Cronograma!$F55),IF(Cronograma!$D55="Hito","◆","■"),"")</x:f>
      </x:c>
      <x:c r="S54" s="79" t="str">
        <x:f>IF(AND(S$5&lt;=Cronograma!$G55,S$5+6&gt;=Cronograma!$F55),IF(Cronograma!$D55="Hito","◆","■"),"")</x:f>
      </x:c>
      <x:c r="T54" s="79" t="str">
        <x:f>IF(AND(T$5&lt;=Cronograma!$G55,T$5+6&gt;=Cronograma!$F55),IF(Cronograma!$D55="Hito","◆","■"),"")</x:f>
      </x:c>
      <x:c r="U54" s="79" t="str">
        <x:f>IF(AND(U$5&lt;=Cronograma!$G55,U$5+6&gt;=Cronograma!$F55),IF(Cronograma!$D55="Hito","◆","■"),"")</x:f>
      </x:c>
      <x:c r="V54" s="79" t="str">
        <x:f>IF(AND(V$5&lt;=Cronograma!$G55,V$5+6&gt;=Cronograma!$F55),IF(Cronograma!$D55="Hito","◆","■"),"")</x:f>
      </x:c>
      <x:c r="W54" s="79" t="str">
        <x:f>IF(AND(W$5&lt;=Cronograma!$G55,W$5+6&gt;=Cronograma!$F55),IF(Cronograma!$D55="Hito","◆","■"),"")</x:f>
      </x:c>
      <x:c r="X54" s="79" t="str">
        <x:f>IF(AND(X$5&lt;=Cronograma!$G55,X$5+6&gt;=Cronograma!$F55),IF(Cronograma!$D55="Hito","◆","■"),"")</x:f>
      </x:c>
      <x:c r="Y54" s="79" t="str">
        <x:f>IF(AND(Y$5&lt;=Cronograma!$G55,Y$5+6&gt;=Cronograma!$F55),IF(Cronograma!$D55="Hito","◆","■"),"")</x:f>
      </x:c>
      <x:c r="Z54" s="79" t="str">
        <x:f>IF(AND(Z$5&lt;=Cronograma!$G55,Z$5+6&gt;=Cronograma!$F55),IF(Cronograma!$D55="Hito","◆","■"),"")</x:f>
      </x:c>
      <x:c r="AA54" s="79" t="str">
        <x:f>IF(AND(AA$5&lt;=Cronograma!$G55,AA$5+6&gt;=Cronograma!$F55),IF(Cronograma!$D55="Hito","◆","■"),"")</x:f>
      </x:c>
      <x:c r="AB54" s="79" t="str">
        <x:f>IF(AND(AB$5&lt;=Cronograma!$G55,AB$5+6&gt;=Cronograma!$F55),IF(Cronograma!$D55="Hito","◆","■"),"")</x:f>
      </x:c>
      <x:c r="AC54" s="79" t="str">
        <x:f>IF(AND(AC$5&lt;=Cronograma!$G55,AC$5+6&gt;=Cronograma!$F55),IF(Cronograma!$D55="Hito","◆","■"),"")</x:f>
      </x:c>
      <x:c r="AD54" s="79" t="str">
        <x:f>IF(AND(AD$5&lt;=Cronograma!$G55,AD$5+6&gt;=Cronograma!$F55),IF(Cronograma!$D55="Hito","◆","■"),"")</x:f>
      </x:c>
      <x:c r="AE54" s="79" t="str">
        <x:f>IF(AND(AE$5&lt;=Cronograma!$G55,AE$5+6&gt;=Cronograma!$F55),IF(Cronograma!$D55="Hito","◆","■"),"")</x:f>
      </x:c>
      <x:c r="AF54" s="79" t="str">
        <x:f>IF(AND(AF$5&lt;=Cronograma!$G55,AF$5+6&gt;=Cronograma!$F55),IF(Cronograma!$D55="Hito","◆","■"),"")</x:f>
      </x:c>
      <x:c r="AG54" s="79" t="str">
        <x:f>IF(AND(AG$5&lt;=Cronograma!$G55,AG$5+6&gt;=Cronograma!$F55),IF(Cronograma!$D55="Hito","◆","■"),"")</x:f>
      </x:c>
      <x:c r="AH54" s="79" t="str">
        <x:f>IF(AND(AH$5&lt;=Cronograma!$G55,AH$5+6&gt;=Cronograma!$F55),IF(Cronograma!$D55="Hito","◆","■"),"")</x:f>
      </x:c>
      <x:c r="AI54" s="79" t="str">
        <x:f>IF(AND(AI$5&lt;=Cronograma!$G55,AI$5+6&gt;=Cronograma!$F55),IF(Cronograma!$D55="Hito","◆","■"),"")</x:f>
      </x:c>
      <x:c r="AJ54" s="79" t="str">
        <x:f>IF(AND(AJ$5&lt;=Cronograma!$G55,AJ$5+6&gt;=Cronograma!$F55),IF(Cronograma!$D55="Hito","◆","■"),"")</x:f>
      </x:c>
      <x:c r="AK54" s="79" t="str">
        <x:f>IF(AND(AK$5&lt;=Cronograma!$G55,AK$5+6&gt;=Cronograma!$F55),IF(Cronograma!$D55="Hito","◆","■"),"")</x:f>
      </x:c>
      <x:c r="AL54" s="79" t="str">
        <x:f>IF(AND(AL$5&lt;=Cronograma!$G55,AL$5+6&gt;=Cronograma!$F55),IF(Cronograma!$D55="Hito","◆","■"),"")</x:f>
      </x:c>
      <x:c r="AM54" s="79" t="str">
        <x:f>IF(AND(AM$5&lt;=Cronograma!$G55,AM$5+6&gt;=Cronograma!$F55),IF(Cronograma!$D55="Hito","◆","■"),"")</x:f>
      </x:c>
      <x:c r="AN54" s="79" t="str">
        <x:f>IF(AND(AN$5&lt;=Cronograma!$G55,AN$5+6&gt;=Cronograma!$F55),IF(Cronograma!$D55="Hito","◆","■"),"")</x:f>
      </x:c>
      <x:c r="AO54" s="79" t="str">
        <x:f>IF(AND(AO$5&lt;=Cronograma!$G55,AO$5+6&gt;=Cronograma!$F55),IF(Cronograma!$D55="Hito","◆","■"),"")</x:f>
      </x:c>
      <x:c r="AP54" s="79" t="str">
        <x:f>IF(AND(AP$5&lt;=Cronograma!$G55,AP$5+6&gt;=Cronograma!$F55),IF(Cronograma!$D55="Hito","◆","■"),"")</x:f>
      </x:c>
      <x:c r="AQ54" s="79" t="str">
        <x:f>IF(AND(AQ$5&lt;=Cronograma!$G55,AQ$5+6&gt;=Cronograma!$F55),IF(Cronograma!$D55="Hito","◆","■"),"")</x:f>
      </x:c>
      <x:c r="AR54" s="79" t="str">
        <x:f>IF(AND(AR$5&lt;=Cronograma!$G55,AR$5+6&gt;=Cronograma!$F55),IF(Cronograma!$D55="Hito","◆","■"),"")</x:f>
        <x:v>■</x:v>
      </x:c>
    </x:row>
    <x:row r="55" ht="25" customHeight="1">
      <x:c r="A55" s="80" t="str">
        <x:f>Cronograma!A56</x:f>
        <x:v>PD-H7</x:v>
      </x:c>
      <x:c r="B55" s="80" t="str">
        <x:f>Cronograma!B56</x:f>
        <x:v>Despliegue en ambiente PROD</x:v>
      </x:c>
      <x:c r="C55" s="80" t="str">
        <x:f>Cronograma!C56</x:f>
        <x:v>Hito: plataforma operativa</x:v>
      </x:c>
      <x:c r="D55" s="81" t="n">
        <x:f>Cronograma!F56</x:f>
        <x:v>46535</x:v>
      </x:c>
      <x:c r="E55" s="81" t="n">
        <x:f>Cronograma!G56</x:f>
        <x:v>46535</x:v>
      </x:c>
      <x:c r="F55" s="82" t="n">
        <x:f>Cronograma!H56</x:f>
        <x:v>1</x:v>
      </x:c>
      <x:c r="G55" s="83" t="str">
        <x:f>IF(AND(G$5&lt;=Cronograma!$G56,G$5+6&gt;=Cronograma!$F56),IF(Cronograma!$D56="Hito","◆","■"),"")</x:f>
      </x:c>
      <x:c r="H55" s="83" t="str">
        <x:f>IF(AND(H$5&lt;=Cronograma!$G56,H$5+6&gt;=Cronograma!$F56),IF(Cronograma!$D56="Hito","◆","■"),"")</x:f>
      </x:c>
      <x:c r="I55" s="83" t="str">
        <x:f>IF(AND(I$5&lt;=Cronograma!$G56,I$5+6&gt;=Cronograma!$F56),IF(Cronograma!$D56="Hito","◆","■"),"")</x:f>
      </x:c>
      <x:c r="J55" s="83" t="str">
        <x:f>IF(AND(J$5&lt;=Cronograma!$G56,J$5+6&gt;=Cronograma!$F56),IF(Cronograma!$D56="Hito","◆","■"),"")</x:f>
      </x:c>
      <x:c r="K55" s="83" t="str">
        <x:f>IF(AND(K$5&lt;=Cronograma!$G56,K$5+6&gt;=Cronograma!$F56),IF(Cronograma!$D56="Hito","◆","■"),"")</x:f>
      </x:c>
      <x:c r="L55" s="83" t="str">
        <x:f>IF(AND(L$5&lt;=Cronograma!$G56,L$5+6&gt;=Cronograma!$F56),IF(Cronograma!$D56="Hito","◆","■"),"")</x:f>
      </x:c>
      <x:c r="M55" s="83" t="str">
        <x:f>IF(AND(M$5&lt;=Cronograma!$G56,M$5+6&gt;=Cronograma!$F56),IF(Cronograma!$D56="Hito","◆","■"),"")</x:f>
      </x:c>
      <x:c r="N55" s="83" t="str">
        <x:f>IF(AND(N$5&lt;=Cronograma!$G56,N$5+6&gt;=Cronograma!$F56),IF(Cronograma!$D56="Hito","◆","■"),"")</x:f>
      </x:c>
      <x:c r="O55" s="83" t="str">
        <x:f>IF(AND(O$5&lt;=Cronograma!$G56,O$5+6&gt;=Cronograma!$F56),IF(Cronograma!$D56="Hito","◆","■"),"")</x:f>
      </x:c>
      <x:c r="P55" s="83" t="str">
        <x:f>IF(AND(P$5&lt;=Cronograma!$G56,P$5+6&gt;=Cronograma!$F56),IF(Cronograma!$D56="Hito","◆","■"),"")</x:f>
      </x:c>
      <x:c r="Q55" s="83" t="str">
        <x:f>IF(AND(Q$5&lt;=Cronograma!$G56,Q$5+6&gt;=Cronograma!$F56),IF(Cronograma!$D56="Hito","◆","■"),"")</x:f>
      </x:c>
      <x:c r="R55" s="83" t="str">
        <x:f>IF(AND(R$5&lt;=Cronograma!$G56,R$5+6&gt;=Cronograma!$F56),IF(Cronograma!$D56="Hito","◆","■"),"")</x:f>
      </x:c>
      <x:c r="S55" s="83" t="str">
        <x:f>IF(AND(S$5&lt;=Cronograma!$G56,S$5+6&gt;=Cronograma!$F56),IF(Cronograma!$D56="Hito","◆","■"),"")</x:f>
      </x:c>
      <x:c r="T55" s="83" t="str">
        <x:f>IF(AND(T$5&lt;=Cronograma!$G56,T$5+6&gt;=Cronograma!$F56),IF(Cronograma!$D56="Hito","◆","■"),"")</x:f>
      </x:c>
      <x:c r="U55" s="83" t="str">
        <x:f>IF(AND(U$5&lt;=Cronograma!$G56,U$5+6&gt;=Cronograma!$F56),IF(Cronograma!$D56="Hito","◆","■"),"")</x:f>
      </x:c>
      <x:c r="V55" s="83" t="str">
        <x:f>IF(AND(V$5&lt;=Cronograma!$G56,V$5+6&gt;=Cronograma!$F56),IF(Cronograma!$D56="Hito","◆","■"),"")</x:f>
      </x:c>
      <x:c r="W55" s="83" t="str">
        <x:f>IF(AND(W$5&lt;=Cronograma!$G56,W$5+6&gt;=Cronograma!$F56),IF(Cronograma!$D56="Hito","◆","■"),"")</x:f>
      </x:c>
      <x:c r="X55" s="83" t="str">
        <x:f>IF(AND(X$5&lt;=Cronograma!$G56,X$5+6&gt;=Cronograma!$F56),IF(Cronograma!$D56="Hito","◆","■"),"")</x:f>
      </x:c>
      <x:c r="Y55" s="83" t="str">
        <x:f>IF(AND(Y$5&lt;=Cronograma!$G56,Y$5+6&gt;=Cronograma!$F56),IF(Cronograma!$D56="Hito","◆","■"),"")</x:f>
      </x:c>
      <x:c r="Z55" s="83" t="str">
        <x:f>IF(AND(Z$5&lt;=Cronograma!$G56,Z$5+6&gt;=Cronograma!$F56),IF(Cronograma!$D56="Hito","◆","■"),"")</x:f>
      </x:c>
      <x:c r="AA55" s="83" t="str">
        <x:f>IF(AND(AA$5&lt;=Cronograma!$G56,AA$5+6&gt;=Cronograma!$F56),IF(Cronograma!$D56="Hito","◆","■"),"")</x:f>
      </x:c>
      <x:c r="AB55" s="83" t="str">
        <x:f>IF(AND(AB$5&lt;=Cronograma!$G56,AB$5+6&gt;=Cronograma!$F56),IF(Cronograma!$D56="Hito","◆","■"),"")</x:f>
      </x:c>
      <x:c r="AC55" s="83" t="str">
        <x:f>IF(AND(AC$5&lt;=Cronograma!$G56,AC$5+6&gt;=Cronograma!$F56),IF(Cronograma!$D56="Hito","◆","■"),"")</x:f>
      </x:c>
      <x:c r="AD55" s="83" t="str">
        <x:f>IF(AND(AD$5&lt;=Cronograma!$G56,AD$5+6&gt;=Cronograma!$F56),IF(Cronograma!$D56="Hito","◆","■"),"")</x:f>
      </x:c>
      <x:c r="AE55" s="83" t="str">
        <x:f>IF(AND(AE$5&lt;=Cronograma!$G56,AE$5+6&gt;=Cronograma!$F56),IF(Cronograma!$D56="Hito","◆","■"),"")</x:f>
      </x:c>
      <x:c r="AF55" s="83" t="str">
        <x:f>IF(AND(AF$5&lt;=Cronograma!$G56,AF$5+6&gt;=Cronograma!$F56),IF(Cronograma!$D56="Hito","◆","■"),"")</x:f>
      </x:c>
      <x:c r="AG55" s="83" t="str">
        <x:f>IF(AND(AG$5&lt;=Cronograma!$G56,AG$5+6&gt;=Cronograma!$F56),IF(Cronograma!$D56="Hito","◆","■"),"")</x:f>
      </x:c>
      <x:c r="AH55" s="83" t="str">
        <x:f>IF(AND(AH$5&lt;=Cronograma!$G56,AH$5+6&gt;=Cronograma!$F56),IF(Cronograma!$D56="Hito","◆","■"),"")</x:f>
      </x:c>
      <x:c r="AI55" s="83" t="str">
        <x:f>IF(AND(AI$5&lt;=Cronograma!$G56,AI$5+6&gt;=Cronograma!$F56),IF(Cronograma!$D56="Hito","◆","■"),"")</x:f>
      </x:c>
      <x:c r="AJ55" s="83" t="str">
        <x:f>IF(AND(AJ$5&lt;=Cronograma!$G56,AJ$5+6&gt;=Cronograma!$F56),IF(Cronograma!$D56="Hito","◆","■"),"")</x:f>
      </x:c>
      <x:c r="AK55" s="83" t="str">
        <x:f>IF(AND(AK$5&lt;=Cronograma!$G56,AK$5+6&gt;=Cronograma!$F56),IF(Cronograma!$D56="Hito","◆","■"),"")</x:f>
      </x:c>
      <x:c r="AL55" s="83" t="str">
        <x:f>IF(AND(AL$5&lt;=Cronograma!$G56,AL$5+6&gt;=Cronograma!$F56),IF(Cronograma!$D56="Hito","◆","■"),"")</x:f>
      </x:c>
      <x:c r="AM55" s="83" t="str">
        <x:f>IF(AND(AM$5&lt;=Cronograma!$G56,AM$5+6&gt;=Cronograma!$F56),IF(Cronograma!$D56="Hito","◆","■"),"")</x:f>
      </x:c>
      <x:c r="AN55" s="83" t="str">
        <x:f>IF(AND(AN$5&lt;=Cronograma!$G56,AN$5+6&gt;=Cronograma!$F56),IF(Cronograma!$D56="Hito","◆","■"),"")</x:f>
      </x:c>
      <x:c r="AO55" s="83" t="str">
        <x:f>IF(AND(AO$5&lt;=Cronograma!$G56,AO$5+6&gt;=Cronograma!$F56),IF(Cronograma!$D56="Hito","◆","■"),"")</x:f>
      </x:c>
      <x:c r="AP55" s="83" t="str">
        <x:f>IF(AND(AP$5&lt;=Cronograma!$G56,AP$5+6&gt;=Cronograma!$F56),IF(Cronograma!$D56="Hito","◆","■"),"")</x:f>
      </x:c>
      <x:c r="AQ55" s="83" t="str">
        <x:f>IF(AND(AQ$5&lt;=Cronograma!$G56,AQ$5+6&gt;=Cronograma!$F56),IF(Cronograma!$D56="Hito","◆","■"),"")</x:f>
      </x:c>
      <x:c r="AR55" s="83" t="str">
        <x:f>IF(AND(AR$5&lt;=Cronograma!$G56,AR$5+6&gt;=Cronograma!$F56),IF(Cronograma!$D56="Hito","◆","■"),"")</x:f>
        <x:v>◆</x:v>
      </x:c>
    </x:row>
    <x:row r="56" ht="25" customHeight="1">
      <x:c r="A56" s="84" t="str">
        <x:f>Cronograma!A57</x:f>
        <x:v>CA-01</x:v>
      </x:c>
      <x:c r="B56" s="84" t="str">
        <x:f>Cronograma!B57</x:f>
        <x:v>Capacitaciones</x:v>
      </x:c>
      <x:c r="C56" s="84" t="str">
        <x:f>Cronograma!C57</x:f>
        <x:v>Capacitaciones</x:v>
      </x:c>
      <x:c r="D56" s="85" t="n">
        <x:f>Cronograma!F57</x:f>
        <x:v>46517</x:v>
      </x:c>
      <x:c r="E56" s="85" t="n">
        <x:f>Cronograma!G57</x:f>
        <x:v>46535</x:v>
      </x:c>
      <x:c r="F56" s="86" t="n">
        <x:f>Cronograma!H57</x:f>
        <x:v>19</x:v>
      </x:c>
      <x:c r="G56" s="87" t="str">
        <x:f>IF(AND(G$5&lt;=Cronograma!$G57,G$5+6&gt;=Cronograma!$F57),IF(Cronograma!$D57="Hito","◆","■"),"")</x:f>
      </x:c>
      <x:c r="H56" s="87" t="str">
        <x:f>IF(AND(H$5&lt;=Cronograma!$G57,H$5+6&gt;=Cronograma!$F57),IF(Cronograma!$D57="Hito","◆","■"),"")</x:f>
      </x:c>
      <x:c r="I56" s="87" t="str">
        <x:f>IF(AND(I$5&lt;=Cronograma!$G57,I$5+6&gt;=Cronograma!$F57),IF(Cronograma!$D57="Hito","◆","■"),"")</x:f>
      </x:c>
      <x:c r="J56" s="87" t="str">
        <x:f>IF(AND(J$5&lt;=Cronograma!$G57,J$5+6&gt;=Cronograma!$F57),IF(Cronograma!$D57="Hito","◆","■"),"")</x:f>
      </x:c>
      <x:c r="K56" s="87" t="str">
        <x:f>IF(AND(K$5&lt;=Cronograma!$G57,K$5+6&gt;=Cronograma!$F57),IF(Cronograma!$D57="Hito","◆","■"),"")</x:f>
      </x:c>
      <x:c r="L56" s="87" t="str">
        <x:f>IF(AND(L$5&lt;=Cronograma!$G57,L$5+6&gt;=Cronograma!$F57),IF(Cronograma!$D57="Hito","◆","■"),"")</x:f>
      </x:c>
      <x:c r="M56" s="87" t="str">
        <x:f>IF(AND(M$5&lt;=Cronograma!$G57,M$5+6&gt;=Cronograma!$F57),IF(Cronograma!$D57="Hito","◆","■"),"")</x:f>
      </x:c>
      <x:c r="N56" s="87" t="str">
        <x:f>IF(AND(N$5&lt;=Cronograma!$G57,N$5+6&gt;=Cronograma!$F57),IF(Cronograma!$D57="Hito","◆","■"),"")</x:f>
      </x:c>
      <x:c r="O56" s="87" t="str">
        <x:f>IF(AND(O$5&lt;=Cronograma!$G57,O$5+6&gt;=Cronograma!$F57),IF(Cronograma!$D57="Hito","◆","■"),"")</x:f>
      </x:c>
      <x:c r="P56" s="87" t="str">
        <x:f>IF(AND(P$5&lt;=Cronograma!$G57,P$5+6&gt;=Cronograma!$F57),IF(Cronograma!$D57="Hito","◆","■"),"")</x:f>
      </x:c>
      <x:c r="Q56" s="87" t="str">
        <x:f>IF(AND(Q$5&lt;=Cronograma!$G57,Q$5+6&gt;=Cronograma!$F57),IF(Cronograma!$D57="Hito","◆","■"),"")</x:f>
      </x:c>
      <x:c r="R56" s="87" t="str">
        <x:f>IF(AND(R$5&lt;=Cronograma!$G57,R$5+6&gt;=Cronograma!$F57),IF(Cronograma!$D57="Hito","◆","■"),"")</x:f>
      </x:c>
      <x:c r="S56" s="87" t="str">
        <x:f>IF(AND(S$5&lt;=Cronograma!$G57,S$5+6&gt;=Cronograma!$F57),IF(Cronograma!$D57="Hito","◆","■"),"")</x:f>
      </x:c>
      <x:c r="T56" s="87" t="str">
        <x:f>IF(AND(T$5&lt;=Cronograma!$G57,T$5+6&gt;=Cronograma!$F57),IF(Cronograma!$D57="Hito","◆","■"),"")</x:f>
      </x:c>
      <x:c r="U56" s="87" t="str">
        <x:f>IF(AND(U$5&lt;=Cronograma!$G57,U$5+6&gt;=Cronograma!$F57),IF(Cronograma!$D57="Hito","◆","■"),"")</x:f>
      </x:c>
      <x:c r="V56" s="87" t="str">
        <x:f>IF(AND(V$5&lt;=Cronograma!$G57,V$5+6&gt;=Cronograma!$F57),IF(Cronograma!$D57="Hito","◆","■"),"")</x:f>
      </x:c>
      <x:c r="W56" s="87" t="str">
        <x:f>IF(AND(W$5&lt;=Cronograma!$G57,W$5+6&gt;=Cronograma!$F57),IF(Cronograma!$D57="Hito","◆","■"),"")</x:f>
      </x:c>
      <x:c r="X56" s="87" t="str">
        <x:f>IF(AND(X$5&lt;=Cronograma!$G57,X$5+6&gt;=Cronograma!$F57),IF(Cronograma!$D57="Hito","◆","■"),"")</x:f>
      </x:c>
      <x:c r="Y56" s="87" t="str">
        <x:f>IF(AND(Y$5&lt;=Cronograma!$G57,Y$5+6&gt;=Cronograma!$F57),IF(Cronograma!$D57="Hito","◆","■"),"")</x:f>
      </x:c>
      <x:c r="Z56" s="87" t="str">
        <x:f>IF(AND(Z$5&lt;=Cronograma!$G57,Z$5+6&gt;=Cronograma!$F57),IF(Cronograma!$D57="Hito","◆","■"),"")</x:f>
      </x:c>
      <x:c r="AA56" s="87" t="str">
        <x:f>IF(AND(AA$5&lt;=Cronograma!$G57,AA$5+6&gt;=Cronograma!$F57),IF(Cronograma!$D57="Hito","◆","■"),"")</x:f>
      </x:c>
      <x:c r="AB56" s="87" t="str">
        <x:f>IF(AND(AB$5&lt;=Cronograma!$G57,AB$5+6&gt;=Cronograma!$F57),IF(Cronograma!$D57="Hito","◆","■"),"")</x:f>
      </x:c>
      <x:c r="AC56" s="87" t="str">
        <x:f>IF(AND(AC$5&lt;=Cronograma!$G57,AC$5+6&gt;=Cronograma!$F57),IF(Cronograma!$D57="Hito","◆","■"),"")</x:f>
      </x:c>
      <x:c r="AD56" s="87" t="str">
        <x:f>IF(AND(AD$5&lt;=Cronograma!$G57,AD$5+6&gt;=Cronograma!$F57),IF(Cronograma!$D57="Hito","◆","■"),"")</x:f>
      </x:c>
      <x:c r="AE56" s="87" t="str">
        <x:f>IF(AND(AE$5&lt;=Cronograma!$G57,AE$5+6&gt;=Cronograma!$F57),IF(Cronograma!$D57="Hito","◆","■"),"")</x:f>
      </x:c>
      <x:c r="AF56" s="87" t="str">
        <x:f>IF(AND(AF$5&lt;=Cronograma!$G57,AF$5+6&gt;=Cronograma!$F57),IF(Cronograma!$D57="Hito","◆","■"),"")</x:f>
      </x:c>
      <x:c r="AG56" s="87" t="str">
        <x:f>IF(AND(AG$5&lt;=Cronograma!$G57,AG$5+6&gt;=Cronograma!$F57),IF(Cronograma!$D57="Hito","◆","■"),"")</x:f>
      </x:c>
      <x:c r="AH56" s="87" t="str">
        <x:f>IF(AND(AH$5&lt;=Cronograma!$G57,AH$5+6&gt;=Cronograma!$F57),IF(Cronograma!$D57="Hito","◆","■"),"")</x:f>
      </x:c>
      <x:c r="AI56" s="87" t="str">
        <x:f>IF(AND(AI$5&lt;=Cronograma!$G57,AI$5+6&gt;=Cronograma!$F57),IF(Cronograma!$D57="Hito","◆","■"),"")</x:f>
      </x:c>
      <x:c r="AJ56" s="87" t="str">
        <x:f>IF(AND(AJ$5&lt;=Cronograma!$G57,AJ$5+6&gt;=Cronograma!$F57),IF(Cronograma!$D57="Hito","◆","■"),"")</x:f>
      </x:c>
      <x:c r="AK56" s="87" t="str">
        <x:f>IF(AND(AK$5&lt;=Cronograma!$G57,AK$5+6&gt;=Cronograma!$F57),IF(Cronograma!$D57="Hito","◆","■"),"")</x:f>
      </x:c>
      <x:c r="AL56" s="87" t="str">
        <x:f>IF(AND(AL$5&lt;=Cronograma!$G57,AL$5+6&gt;=Cronograma!$F57),IF(Cronograma!$D57="Hito","◆","■"),"")</x:f>
      </x:c>
      <x:c r="AM56" s="87" t="str">
        <x:f>IF(AND(AM$5&lt;=Cronograma!$G57,AM$5+6&gt;=Cronograma!$F57),IF(Cronograma!$D57="Hito","◆","■"),"")</x:f>
      </x:c>
      <x:c r="AN56" s="87" t="str">
        <x:f>IF(AND(AN$5&lt;=Cronograma!$G57,AN$5+6&gt;=Cronograma!$F57),IF(Cronograma!$D57="Hito","◆","■"),"")</x:f>
      </x:c>
      <x:c r="AO56" s="87" t="str">
        <x:f>IF(AND(AO$5&lt;=Cronograma!$G57,AO$5+6&gt;=Cronograma!$F57),IF(Cronograma!$D57="Hito","◆","■"),"")</x:f>
      </x:c>
      <x:c r="AP56" s="87" t="str">
        <x:f>IF(AND(AP$5&lt;=Cronograma!$G57,AP$5+6&gt;=Cronograma!$F57),IF(Cronograma!$D57="Hito","◆","■"),"")</x:f>
        <x:v>■</x:v>
      </x:c>
      <x:c r="AQ56" s="87" t="str">
        <x:f>IF(AND(AQ$5&lt;=Cronograma!$G57,AQ$5+6&gt;=Cronograma!$F57),IF(Cronograma!$D57="Hito","◆","■"),"")</x:f>
        <x:v>■</x:v>
      </x:c>
      <x:c r="AR56" s="87" t="str">
        <x:f>IF(AND(AR$5&lt;=Cronograma!$G57,AR$5+6&gt;=Cronograma!$F57),IF(Cronograma!$D57="Hito","◆","■"),"")</x:f>
        <x:v>■</x:v>
      </x:c>
    </x:row>
  </x:sheetData>
  <x:pageMargins left="0.7" right="0.7" top="0.75" bottom="0.75" header="0.3" footer="0.3"/>
</x:worksheet>
</file>