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penav/Documents/Plataforma de control de activos/validacion/"/>
    </mc:Choice>
  </mc:AlternateContent>
  <xr:revisionPtr revIDLastSave="0" documentId="13_ncr:1_{95C557FC-DDE8-0B46-A162-738417F14352}" xr6:coauthVersionLast="47" xr6:coauthVersionMax="47" xr10:uidLastSave="{00000000-0000-0000-0000-000000000000}"/>
  <bookViews>
    <workbookView xWindow="0" yWindow="620" windowWidth="35840" windowHeight="19940" xr2:uid="{00000000-000D-0000-FFFF-FFFF00000000}"/>
  </bookViews>
  <sheets>
    <sheet name="Matriz demo" sheetId="1" r:id="rId1"/>
    <sheet name="Flujo demo" sheetId="2" r:id="rId2"/>
    <sheet name="Catálogos dem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H5" i="1"/>
  <c r="E5" i="1"/>
  <c r="B5" i="1"/>
</calcChain>
</file>

<file path=xl/sharedStrings.xml><?xml version="1.0" encoding="utf-8"?>
<sst xmlns="http://schemas.openxmlformats.org/spreadsheetml/2006/main" count="1585" uniqueCount="736">
  <si>
    <t>Matriz funcional basada exclusivamente en la demo</t>
  </si>
  <si>
    <t>Recorra los pasos en orden. Complete Validación cliente y Comentario / valor acordado. El Excel operacional queda fuera de esta matriz.</t>
  </si>
  <si>
    <t>Total elementos</t>
  </si>
  <si>
    <t>Aprobados</t>
  </si>
  <si>
    <t>Ajustar</t>
  </si>
  <si>
    <t>Pendientes</t>
  </si>
  <si>
    <t>ID</t>
  </si>
  <si>
    <t>Paso</t>
  </si>
  <si>
    <t>Módulo</t>
  </si>
  <si>
    <t>Pantalla / formulario</t>
  </si>
  <si>
    <t>Sección</t>
  </si>
  <si>
    <t>Campo / indicador</t>
  </si>
  <si>
    <t>Tipo</t>
  </si>
  <si>
    <t>Obligatorio</t>
  </si>
  <si>
    <t>Valores / opciones</t>
  </si>
  <si>
    <t>Regla o fórmula actual en la demo</t>
  </si>
  <si>
    <t>Nota para validar</t>
  </si>
  <si>
    <t>Validación cliente</t>
  </si>
  <si>
    <t>Comentario / valor acordado</t>
  </si>
  <si>
    <t>DM-001</t>
  </si>
  <si>
    <t>Proyectos</t>
  </si>
  <si>
    <t>Hub de proyectos</t>
  </si>
  <si>
    <t>Filtros</t>
  </si>
  <si>
    <t>Buscar proyecto</t>
  </si>
  <si>
    <t>Texto</t>
  </si>
  <si>
    <t>No</t>
  </si>
  <si>
    <t>Nombre, código o mandante</t>
  </si>
  <si>
    <t>Filtra las tarjetas si alguno de esos textos contiene la búsqueda.</t>
  </si>
  <si>
    <t>Pendiente</t>
  </si>
  <si>
    <t>DM-002</t>
  </si>
  <si>
    <t>Estado</t>
  </si>
  <si>
    <t>Lista</t>
  </si>
  <si>
    <t>Todos; Activo; En configuración; Cerrado</t>
  </si>
  <si>
    <t>Filtra proyectos por igualdad de estado.</t>
  </si>
  <si>
    <t>DM-003</t>
  </si>
  <si>
    <t>Indicadores</t>
  </si>
  <si>
    <t>Total proyectos</t>
  </si>
  <si>
    <t>Calculado</t>
  </si>
  <si>
    <t>Sí</t>
  </si>
  <si>
    <t>Número</t>
  </si>
  <si>
    <t>Cantidad de proyectos existentes.</t>
  </si>
  <si>
    <t>DM-004</t>
  </si>
  <si>
    <t>Proyectos activos</t>
  </si>
  <si>
    <t>Cuenta proyectos con estado = activo.</t>
  </si>
  <si>
    <t>DM-005</t>
  </si>
  <si>
    <t>En configuración</t>
  </si>
  <si>
    <t>Cuenta proyectos con estado = config.</t>
  </si>
  <si>
    <t>DM-006</t>
  </si>
  <si>
    <t>Plantillas guardadas</t>
  </si>
  <si>
    <t>Cantidad de plantillas existentes.</t>
  </si>
  <si>
    <t>DM-007</t>
  </si>
  <si>
    <t>Proyecto</t>
  </si>
  <si>
    <t>Nuevo proyecto</t>
  </si>
  <si>
    <t>Datos generales</t>
  </si>
  <si>
    <t>Código del proyecto</t>
  </si>
  <si>
    <t>Texto corto</t>
  </si>
  <si>
    <t>Ej. PLINTH-5</t>
  </si>
  <si>
    <t>No vacío. La demo no valida duplicados.</t>
  </si>
  <si>
    <t>DM-008</t>
  </si>
  <si>
    <t>Año</t>
  </si>
  <si>
    <t>Número/texto</t>
  </si>
  <si>
    <t>AAAA</t>
  </si>
  <si>
    <t>Valor inicial = año actual.</t>
  </si>
  <si>
    <t>DM-009</t>
  </si>
  <si>
    <t>Nombre del proyecto</t>
  </si>
  <si>
    <t>No vacío.</t>
  </si>
  <si>
    <t>DM-010</t>
  </si>
  <si>
    <t>Organizaciones</t>
  </si>
  <si>
    <t>Mandante / Cliente</t>
  </si>
  <si>
    <t>Se guarda como texto libre.</t>
  </si>
  <si>
    <t>DM-011</t>
  </si>
  <si>
    <t>Contratista CTTA</t>
  </si>
  <si>
    <t>Si queda vacío, la descripción usa CTTA.</t>
  </si>
  <si>
    <t>DM-012</t>
  </si>
  <si>
    <t>Unidad / Módulo</t>
  </si>
  <si>
    <t>Se incorpora al subtítulo del proyecto.</t>
  </si>
  <si>
    <t>DM-013</t>
  </si>
  <si>
    <t>Fechas</t>
  </si>
  <si>
    <t>Fecha inicio</t>
  </si>
  <si>
    <t>Fecha</t>
  </si>
  <si>
    <t>Sin validación contra fecha de término.</t>
  </si>
  <si>
    <t>DM-014</t>
  </si>
  <si>
    <t>Fecha término estimada</t>
  </si>
  <si>
    <t>Sin validación contra fecha de inicio.</t>
  </si>
  <si>
    <t>DM-015</t>
  </si>
  <si>
    <t>Presentación</t>
  </si>
  <si>
    <t>Color identificador</t>
  </si>
  <si>
    <t>Selección</t>
  </si>
  <si>
    <t>7 colores disponibles</t>
  </si>
  <si>
    <t>Color inicial morado.</t>
  </si>
  <si>
    <t>DM-016</t>
  </si>
  <si>
    <t>Configuración inicial</t>
  </si>
  <si>
    <t>Copiar configuración</t>
  </si>
  <si>
    <t>Ninguna; Proyecto existente; Plantilla</t>
  </si>
  <si>
    <t>La demo registra la selección, pero no copia realmente los controles al nuevo proyecto.</t>
  </si>
  <si>
    <t>DM-017</t>
  </si>
  <si>
    <t>Resultado</t>
  </si>
  <si>
    <t>Estado inicial</t>
  </si>
  <si>
    <t>Todo proyecto nuevo se crea con estado config, 0 activos, 0 PC y 0% TM.</t>
  </si>
  <si>
    <t>DM-018</t>
  </si>
  <si>
    <t>Plantillas</t>
  </si>
  <si>
    <t>Guardar plantilla</t>
  </si>
  <si>
    <t>Origen</t>
  </si>
  <si>
    <t>Proyecto de origen</t>
  </si>
  <si>
    <t>Proyectos existentes</t>
  </si>
  <si>
    <t>Debe seleccionarse un proyecto.</t>
  </si>
  <si>
    <t>DM-019</t>
  </si>
  <si>
    <t>Identificación</t>
  </si>
  <si>
    <t>Nombre de plantilla</t>
  </si>
  <si>
    <t>DM-020</t>
  </si>
  <si>
    <t>Descripción</t>
  </si>
  <si>
    <t>Texto largo</t>
  </si>
  <si>
    <t>Sin regla.</t>
  </si>
  <si>
    <t>DM-021</t>
  </si>
  <si>
    <t>Cantidad de PC</t>
  </si>
  <si>
    <t>DM-022</t>
  </si>
  <si>
    <t>Línea base</t>
  </si>
  <si>
    <t>Activos del proyecto</t>
  </si>
  <si>
    <t>Carga</t>
  </si>
  <si>
    <t>Archivo de activos</t>
  </si>
  <si>
    <t>Archivo</t>
  </si>
  <si>
    <t>XLSX</t>
  </si>
  <si>
    <t>DM-023</t>
  </si>
  <si>
    <t>Resultado importación</t>
  </si>
  <si>
    <t>Calculado simulado</t>
  </si>
  <si>
    <t>Totales de activos</t>
  </si>
  <si>
    <t>La demo informa 1.968 detectados, 1.705 vigentes, 263 eliminados, 1.451 en alcance y 254 fuera de alcance.</t>
  </si>
  <si>
    <t>Reemplazar por validación real del archivo.</t>
  </si>
  <si>
    <t>DM-024</t>
  </si>
  <si>
    <t>Vigentes</t>
  </si>
  <si>
    <t>Cuenta activos con estado = V.</t>
  </si>
  <si>
    <t>DM-025</t>
  </si>
  <si>
    <t>Eliminados</t>
  </si>
  <si>
    <t>Cuenta activos con estado = E.</t>
  </si>
  <si>
    <t>DM-026</t>
  </si>
  <si>
    <t>En alcance</t>
  </si>
  <si>
    <t>Cuenta activos vigentes con alcance = cont.</t>
  </si>
  <si>
    <t>DM-027</t>
  </si>
  <si>
    <t>Fuera de alcance</t>
  </si>
  <si>
    <t>Cuenta activos vigentes con alcance = fa.</t>
  </si>
  <si>
    <t>DM-028</t>
  </si>
  <si>
    <t>Activos</t>
  </si>
  <si>
    <t>Agregar activo</t>
  </si>
  <si>
    <t>TAG</t>
  </si>
  <si>
    <t>Se exige no vacío. La demo no valida unicidad.</t>
  </si>
  <si>
    <t>DM-029</t>
  </si>
  <si>
    <t>Se exige no vacío.</t>
  </si>
  <si>
    <t>DM-030</t>
  </si>
  <si>
    <t>Clasificación</t>
  </si>
  <si>
    <t>AGT, BBA, LIN, MCC, FIT, etc.</t>
  </si>
  <si>
    <t>Se usa para determinar controles N/A mediante una tabla interna.</t>
  </si>
  <si>
    <t>DM-031</t>
  </si>
  <si>
    <t>Especialidad</t>
  </si>
  <si>
    <t>Mecánica; Cañerías; Electricidad; Instrumentación</t>
  </si>
  <si>
    <t>Determina qué catálogo de PC se asigna.</t>
  </si>
  <si>
    <t>DM-032</t>
  </si>
  <si>
    <t>Estado del activo</t>
  </si>
  <si>
    <t>Vigente; Eliminado</t>
  </si>
  <si>
    <t>Eliminado no participa en KPIs.</t>
  </si>
  <si>
    <t>DM-033</t>
  </si>
  <si>
    <t>Alcance</t>
  </si>
  <si>
    <t>Alcance contractual</t>
  </si>
  <si>
    <t>En alcance CTTA; Fuera de alcance</t>
  </si>
  <si>
    <t>En alcance participa en cumplimiento contractual. Fuera de alcance puede participar en readiness funcional.</t>
  </si>
  <si>
    <t>DM-034</t>
  </si>
  <si>
    <t>Planificación</t>
  </si>
  <si>
    <t>Prioridad</t>
  </si>
  <si>
    <t>P1 Alta; P2 Media; P3 Baja</t>
  </si>
  <si>
    <t>Se usa en filtros y resumen por prioridad.</t>
  </si>
  <si>
    <t>DM-035</t>
  </si>
  <si>
    <t>Ubicación</t>
  </si>
  <si>
    <t>Edificio / Área</t>
  </si>
  <si>
    <t>Se usa en filtros.</t>
  </si>
  <si>
    <t>DM-036</t>
  </si>
  <si>
    <t>Sistema</t>
  </si>
  <si>
    <t>Se usa en filtros, reportes y dossier.</t>
  </si>
  <si>
    <t>DM-037</t>
  </si>
  <si>
    <t>Subsistema</t>
  </si>
  <si>
    <t>Se usa en detalle y clasificación.</t>
  </si>
  <si>
    <t>DM-038</t>
  </si>
  <si>
    <t>Familia</t>
  </si>
  <si>
    <t>Se usa en filtros y dossier.</t>
  </si>
  <si>
    <t>DM-039</t>
  </si>
  <si>
    <t>Proveedor</t>
  </si>
  <si>
    <t>Vendor / Fabricante</t>
  </si>
  <si>
    <t>Sin regla de cálculo.</t>
  </si>
  <si>
    <t>DM-040</t>
  </si>
  <si>
    <t>Ingeniería</t>
  </si>
  <si>
    <t>Plano P&amp;ID</t>
  </si>
  <si>
    <t>DM-041</t>
  </si>
  <si>
    <t>Registro TM</t>
  </si>
  <si>
    <t>Avance</t>
  </si>
  <si>
    <t>Avance físico por especialidad</t>
  </si>
  <si>
    <t>Porcentaje</t>
  </si>
  <si>
    <t>0 a 100</t>
  </si>
  <si>
    <t>Valor editable entre 0 y 100. Un activo puede guardar avance en varias especialidades.</t>
  </si>
  <si>
    <t>DM-042</t>
  </si>
  <si>
    <t>Puntos de control</t>
  </si>
  <si>
    <t>Etapa</t>
  </si>
  <si>
    <t>Etapa activa</t>
  </si>
  <si>
    <t>TM; Precom; Com; PEM</t>
  </si>
  <si>
    <t>Determina el catálogo mostrado por etapa.</t>
  </si>
  <si>
    <t>DM-043</t>
  </si>
  <si>
    <t>Importar línea base</t>
  </si>
  <si>
    <t>XLSX CommCheck</t>
  </si>
  <si>
    <t>La importación es simulada y carga los 47 PC TM por defecto.</t>
  </si>
  <si>
    <t>DM-044</t>
  </si>
  <si>
    <t>Proyecto; Plantilla</t>
  </si>
  <si>
    <t>La demo actualiza el texto de estado, pero no copia el detalle.</t>
  </si>
  <si>
    <t>DM-045</t>
  </si>
  <si>
    <t>Wizard</t>
  </si>
  <si>
    <t>Paso 1</t>
  </si>
  <si>
    <t>Selecciona el catálogo de controles de la etapa.</t>
  </si>
  <si>
    <t>DM-046</t>
  </si>
  <si>
    <t>Paso 2</t>
  </si>
  <si>
    <t>Especialidades</t>
  </si>
  <si>
    <t>Selección múltiple</t>
  </si>
  <si>
    <t>Debe existir al menos un PC seleccionado en alguna disciplina.</t>
  </si>
  <si>
    <t>DM-047</t>
  </si>
  <si>
    <t>Paso 3</t>
  </si>
  <si>
    <t>Catálogo de la etapa y disciplina</t>
  </si>
  <si>
    <t>Los controles seleccionados forman la línea base activa.</t>
  </si>
  <si>
    <t>DM-048</t>
  </si>
  <si>
    <t>Paso 4</t>
  </si>
  <si>
    <t>Obligatorio contractual</t>
  </si>
  <si>
    <t>Booleano</t>
  </si>
  <si>
    <t>Sí; No</t>
  </si>
  <si>
    <t>Si es verdadero, el PC participa en cumplimiento contractual.</t>
  </si>
  <si>
    <t>DM-049</t>
  </si>
  <si>
    <t>Crítico para Precom / etapa siguiente</t>
  </si>
  <si>
    <t>Si es verdadero, el PC participa en readiness funcional.</t>
  </si>
  <si>
    <t>DM-050</t>
  </si>
  <si>
    <t>Sección contrato</t>
  </si>
  <si>
    <t>Ej. BMP §6.5.C</t>
  </si>
  <si>
    <t>Referencia contractual libre.</t>
  </si>
  <si>
    <t>DM-051</t>
  </si>
  <si>
    <t>Número formato protocolo</t>
  </si>
  <si>
    <t>Ej. PRT-MEC-001</t>
  </si>
  <si>
    <t>Se usa para clasificar archivos masivos.</t>
  </si>
  <si>
    <t>DM-052</t>
  </si>
  <si>
    <t>Caminata</t>
  </si>
  <si>
    <t>Caminata 1; 2; 3</t>
  </si>
  <si>
    <t>Agrupa el control en CAM-1, CAM-2 o CAM-3.</t>
  </si>
  <si>
    <t>DM-053</t>
  </si>
  <si>
    <t>Confirmación</t>
  </si>
  <si>
    <t>Total PC</t>
  </si>
  <si>
    <t>Suma los PC seleccionados en las cuatro disciplinas.</t>
  </si>
  <si>
    <t>DM-054</t>
  </si>
  <si>
    <t>Cruces generados</t>
  </si>
  <si>
    <t>Total PC seleccionados × cantidad de activos vigentes.</t>
  </si>
  <si>
    <t>La demo muestra esta multiplicación, aunque cada activo usa solo su disciplina.</t>
  </si>
  <si>
    <t>DM-055</t>
  </si>
  <si>
    <t>Nuevo punto de control</t>
  </si>
  <si>
    <t>Nombre de la prueba</t>
  </si>
  <si>
    <t>DM-056</t>
  </si>
  <si>
    <t>Definición</t>
  </si>
  <si>
    <t>Descripción / criterio aceptación</t>
  </si>
  <si>
    <t>Sin regla automática.</t>
  </si>
  <si>
    <t>DM-057</t>
  </si>
  <si>
    <t>Agrega el control al catálogo de la disciplina.</t>
  </si>
  <si>
    <t>DM-058</t>
  </si>
  <si>
    <t>Documentación</t>
  </si>
  <si>
    <t>Código SOP</t>
  </si>
  <si>
    <t>DM-059</t>
  </si>
  <si>
    <t>Número de formato</t>
  </si>
  <si>
    <t>Se usa en clasificación documental.</t>
  </si>
  <si>
    <t>DM-060</t>
  </si>
  <si>
    <t>Valor inicial Caminata 1.</t>
  </si>
  <si>
    <t>DM-061</t>
  </si>
  <si>
    <t>Catálogo</t>
  </si>
  <si>
    <t>Catálogo de activos</t>
  </si>
  <si>
    <t>Filtros de activos</t>
  </si>
  <si>
    <t>Texto; especialidad; estado; alcance; prioridad</t>
  </si>
  <si>
    <t>Combinación de filtros sobre los activos en memoria.</t>
  </si>
  <si>
    <t>DM-062</t>
  </si>
  <si>
    <t>Catálogo de PC</t>
  </si>
  <si>
    <t>Filtros de controles</t>
  </si>
  <si>
    <t>Texto; especialidad</t>
  </si>
  <si>
    <t>Muestra solo PC configurados en la línea base activa.</t>
  </si>
  <si>
    <t>DM-063</t>
  </si>
  <si>
    <t>Aplicabilidad</t>
  </si>
  <si>
    <t>Matriz activo × PC</t>
  </si>
  <si>
    <t>Regla</t>
  </si>
  <si>
    <t>No aplica por tipo</t>
  </si>
  <si>
    <t>N/A</t>
  </si>
  <si>
    <t>Un PC queda N/A si su ID está incluido en la lista NA del tipo de activo o si el activo está eliminado.</t>
  </si>
  <si>
    <t>DM-064</t>
  </si>
  <si>
    <t>TM</t>
  </si>
  <si>
    <t>La matriz muestra activos y PC de la disciplina seleccionada.</t>
  </si>
  <si>
    <t>DM-065</t>
  </si>
  <si>
    <t>Filtros operacionales</t>
  </si>
  <si>
    <t>TAG; alcance; estado; sistema; edificio; prioridad; familia</t>
  </si>
  <si>
    <t>Filtran filas de activos.</t>
  </si>
  <si>
    <t>DM-066</t>
  </si>
  <si>
    <t>Indicador</t>
  </si>
  <si>
    <t>TM completo</t>
  </si>
  <si>
    <t>Cuenta activos de la disciplina con 100% documental.</t>
  </si>
  <si>
    <t>DM-067</t>
  </si>
  <si>
    <t>En proceso</t>
  </si>
  <si>
    <t>Cuenta activos con al menos un protocolo y menos de 100%.</t>
  </si>
  <si>
    <t>DM-068</t>
  </si>
  <si>
    <t>Sin inicio</t>
  </si>
  <si>
    <t>Cuenta activos con 0 protocolos cargados.</t>
  </si>
  <si>
    <t>DM-069</t>
  </si>
  <si>
    <t>Celda activo-control</t>
  </si>
  <si>
    <t>Estado del control</t>
  </si>
  <si>
    <t>Estado binario</t>
  </si>
  <si>
    <t>Cargado; No cargado; N/A</t>
  </si>
  <si>
    <t>1 = cargado; 0 = no cargado; null = N/A.</t>
  </si>
  <si>
    <t>DM-070</t>
  </si>
  <si>
    <t>Registro de protocolo</t>
  </si>
  <si>
    <t>Conforme; No conforme</t>
  </si>
  <si>
    <t>En la demo se guarda como 1 o 0.</t>
  </si>
  <si>
    <t>DM-071</t>
  </si>
  <si>
    <t>Se completa desde el PC y puede editarse.</t>
  </si>
  <si>
    <t>DM-072</t>
  </si>
  <si>
    <t>Responsabilidad</t>
  </si>
  <si>
    <t>Responsable CTTA</t>
  </si>
  <si>
    <t>No permite guardar si está vacío.</t>
  </si>
  <si>
    <t>DM-073</t>
  </si>
  <si>
    <t>Ejecución</t>
  </si>
  <si>
    <t>Valor inicial = fecha actual.</t>
  </si>
  <si>
    <t>DM-074</t>
  </si>
  <si>
    <t>Observación</t>
  </si>
  <si>
    <t>La demo no persiste esta observación.</t>
  </si>
  <si>
    <t>DM-075</t>
  </si>
  <si>
    <t>Evidencia</t>
  </si>
  <si>
    <t>Protocolo firmado</t>
  </si>
  <si>
    <t>Archivo simulado</t>
  </si>
  <si>
    <t>PDF</t>
  </si>
  <si>
    <t>La selección es simulada; no guarda el archivo.</t>
  </si>
  <si>
    <t>DM-076</t>
  </si>
  <si>
    <t>Cálculo</t>
  </si>
  <si>
    <t>Porcentaje documental</t>
  </si>
  <si>
    <t>Fórmula</t>
  </si>
  <si>
    <t>Controles aplicables cargados / controles aplicables. N/A no participa.</t>
  </si>
  <si>
    <t>DM-077</t>
  </si>
  <si>
    <t>Cumplimiento contractual del activo</t>
  </si>
  <si>
    <t>PC obligatorios cargados / PC obligatorios aplicables.</t>
  </si>
  <si>
    <t>DM-078</t>
  </si>
  <si>
    <t>Readiness funcional del activo</t>
  </si>
  <si>
    <t>PC críticos cargados / PC críticos aplicables.</t>
  </si>
  <si>
    <t>DM-079</t>
  </si>
  <si>
    <t>Documentos</t>
  </si>
  <si>
    <t>Carga masiva</t>
  </si>
  <si>
    <t>Archivos</t>
  </si>
  <si>
    <t>Archivos múltiples</t>
  </si>
  <si>
    <t>PDF; ZIP</t>
  </si>
  <si>
    <t>Agrega archivos no repetidos por nombre a una cola en memoria.</t>
  </si>
  <si>
    <t>DM-080</t>
  </si>
  <si>
    <t>TAG detectado</t>
  </si>
  <si>
    <t>TAG o vacío</t>
  </si>
  <si>
    <t>Coincidencia exacta aporta 35 puntos; coincidencia parcial de segmentos aporta 20.</t>
  </si>
  <si>
    <t>DM-081</t>
  </si>
  <si>
    <t>Formato detectado</t>
  </si>
  <si>
    <t>Formato o vacío</t>
  </si>
  <si>
    <t>Coincidencia del formato en el nombre aporta 35 puntos.</t>
  </si>
  <si>
    <t>DM-082</t>
  </si>
  <si>
    <t>SOP detectado</t>
  </si>
  <si>
    <t>SOP o vacío</t>
  </si>
  <si>
    <t>Coincidencia del SOP aporta 10 puntos.</t>
  </si>
  <si>
    <t>DM-083</t>
  </si>
  <si>
    <t>Especialidad detectada</t>
  </si>
  <si>
    <t>Mec; Pip; Ele; Ins</t>
  </si>
  <si>
    <t>Palabras clave o formato detectado aportan 10 puntos.</t>
  </si>
  <si>
    <t>DM-084</t>
  </si>
  <si>
    <t>Revisión detectada</t>
  </si>
  <si>
    <t>Rev. 0, 1, A, etc.</t>
  </si>
  <si>
    <t>Se extrae del patrón REV incluido en el nombre; si no existe usa 0.</t>
  </si>
  <si>
    <t>DM-085</t>
  </si>
  <si>
    <t>Confianza</t>
  </si>
  <si>
    <t>0% a 100%</t>
  </si>
  <si>
    <t>Mínimo de 100 y suma TAG + formato + SOP + especialidad + 5 si contiene protocolo/protocol.</t>
  </si>
  <si>
    <t>DM-086</t>
  </si>
  <si>
    <t>Estado automático</t>
  </si>
  <si>
    <t>Auto; Sugerido; Pendiente; Conflicto; Duplicado</t>
  </si>
  <si>
    <t>Auto si confianza ≥90 con TAG y formato. Sugerido si ≥70. En otro caso pendiente, salvo conflictos.</t>
  </si>
  <si>
    <t>DM-087</t>
  </si>
  <si>
    <t>Asignación manual</t>
  </si>
  <si>
    <t>Datos</t>
  </si>
  <si>
    <t>Protocolo / folio</t>
  </si>
  <si>
    <t>DM-088</t>
  </si>
  <si>
    <t>Responsable</t>
  </si>
  <si>
    <t>Usa el usuario de sesión si existe.</t>
  </si>
  <si>
    <t>DM-089</t>
  </si>
  <si>
    <t>DM-090</t>
  </si>
  <si>
    <t>Asignación</t>
  </si>
  <si>
    <t>Activos y PC</t>
  </si>
  <si>
    <t>Marca como cargadas las celdas seleccionadas y agrega una versión documental activa.</t>
  </si>
  <si>
    <t>DM-091</t>
  </si>
  <si>
    <t>Dashboard</t>
  </si>
  <si>
    <t>Dashboard TM</t>
  </si>
  <si>
    <t>Universo</t>
  </si>
  <si>
    <t>Activos contractuales</t>
  </si>
  <si>
    <t>Conjunto de activos</t>
  </si>
  <si>
    <t>Activos con estado V y alcance cont.</t>
  </si>
  <si>
    <t>DM-092</t>
  </si>
  <si>
    <t>Activos funcionales Precom</t>
  </si>
  <si>
    <t>Todos los activos con estado V, incluidos fuera de alcance contractual.</t>
  </si>
  <si>
    <t>DM-093</t>
  </si>
  <si>
    <t>PC contractuales aplicables</t>
  </si>
  <si>
    <t>Conjunto de PC</t>
  </si>
  <si>
    <t>PC activos con obligatorio = Sí y no incluidos en N/A del tipo de activo.</t>
  </si>
  <si>
    <t>DM-094</t>
  </si>
  <si>
    <t>PC críticos aplicables</t>
  </si>
  <si>
    <t>PC activos con crítico = Sí y no incluidos en N/A del tipo de activo.</t>
  </si>
  <si>
    <t>DM-095</t>
  </si>
  <si>
    <t>Cumplimiento contractual global</t>
  </si>
  <si>
    <t>PC contractuales con valor 1 / PC contractuales con valor definido.</t>
  </si>
  <si>
    <t>DM-096</t>
  </si>
  <si>
    <t>Readiness global Precom</t>
  </si>
  <si>
    <t>PC críticos con valor 1 / PC críticos con valor definido.</t>
  </si>
  <si>
    <t>DM-097</t>
  </si>
  <si>
    <t>Estado contractual</t>
  </si>
  <si>
    <t>Eliminado; Fuera alcance; N/A; Completo; Parcial; Pendiente</t>
  </si>
  <si>
    <t>Completo si todos los PC obligatorios aplicables están cargados; parcial si hay alguno; pendiente si ninguno.</t>
  </si>
  <si>
    <t>DM-098</t>
  </si>
  <si>
    <t>Estado funcional Precom</t>
  </si>
  <si>
    <t>Eliminado; N/A; Listo; Parcial; Bloqueado</t>
  </si>
  <si>
    <t>Listo si todos los PC críticos aplicables están cargados; parcial si hay alguno; bloqueado si ninguno.</t>
  </si>
  <si>
    <t>DM-099</t>
  </si>
  <si>
    <t>Reportes</t>
  </si>
  <si>
    <t>Brechas</t>
  </si>
  <si>
    <t>Diferencias contractual/funcional</t>
  </si>
  <si>
    <t>Cinco listas</t>
  </si>
  <si>
    <t>Clasifica: contractual OK/Precom no; Precom OK/contractual no; fuera alcance necesario; solo contractual pendiente; solo funcional pendiente.</t>
  </si>
  <si>
    <t>DM-100</t>
  </si>
  <si>
    <t>Enviar al Líder TM</t>
  </si>
  <si>
    <t>Elegibilidad</t>
  </si>
  <si>
    <t>Activo elegible</t>
  </si>
  <si>
    <t>Vigente, en alcance contractual, disciplina seleccionada, no enviado previamente y porcentaje documental = 100%.</t>
  </si>
  <si>
    <t>DM-101</t>
  </si>
  <si>
    <t>Solicitud</t>
  </si>
  <si>
    <t>Activos a enviar</t>
  </si>
  <si>
    <t>Selección automática</t>
  </si>
  <si>
    <t>TAG elegibles</t>
  </si>
  <si>
    <t>El envío masivo incorpora todos los elegibles de la disciplina.</t>
  </si>
  <si>
    <t>DM-102</t>
  </si>
  <si>
    <t>Bandeja Líder TM</t>
  </si>
  <si>
    <t>Decisión</t>
  </si>
  <si>
    <t>Estado de aprobación</t>
  </si>
  <si>
    <t>Pendiente; Aprobado; Rechazado</t>
  </si>
  <si>
    <t>Todo envío inicia Pendiente.</t>
  </si>
  <si>
    <t>DM-103</t>
  </si>
  <si>
    <t>Rechazo</t>
  </si>
  <si>
    <t>Causas</t>
  </si>
  <si>
    <t>Condicional</t>
  </si>
  <si>
    <t>Códigos A-1 a E-3</t>
  </si>
  <si>
    <t>Se exige al menos una causa para confirmar rechazo.</t>
  </si>
  <si>
    <t>DM-104</t>
  </si>
  <si>
    <t>Observación del líder</t>
  </si>
  <si>
    <t>Se guarda como observación de rechazo.</t>
  </si>
  <si>
    <t>DM-105</t>
  </si>
  <si>
    <t>Identificación de sesión</t>
  </si>
  <si>
    <t>Nombre</t>
  </si>
  <si>
    <t>Se solicita la primera vez que una aprobación necesita responsable.</t>
  </si>
  <si>
    <t>DM-106</t>
  </si>
  <si>
    <t>Rol</t>
  </si>
  <si>
    <t>Técnico TM; Líder TM; Precom; Administrador</t>
  </si>
  <si>
    <t>Solo etiqueta la sesión; no implementa permisos.</t>
  </si>
  <si>
    <t>DM-107</t>
  </si>
  <si>
    <t>Traspasos</t>
  </si>
  <si>
    <t>Entrega TM → Precom</t>
  </si>
  <si>
    <t>ID de entrega</t>
  </si>
  <si>
    <t>E1, E2, E3...</t>
  </si>
  <si>
    <t>Se agrupan registros por ID de entrega.</t>
  </si>
  <si>
    <t>DM-108</t>
  </si>
  <si>
    <t>Folio</t>
  </si>
  <si>
    <t>Ej. DOC-2026-0441</t>
  </si>
  <si>
    <t>Identifica la entrega formal.</t>
  </si>
  <si>
    <t>DM-109</t>
  </si>
  <si>
    <t>Fecha de la entrega.</t>
  </si>
  <si>
    <t>DM-110</t>
  </si>
  <si>
    <t>Lista de TAG</t>
  </si>
  <si>
    <t>Una entrega contiene uno o más activos.</t>
  </si>
  <si>
    <t>DM-111</t>
  </si>
  <si>
    <t>Estado por activo</t>
  </si>
  <si>
    <t>A; R; P</t>
  </si>
  <si>
    <t>Aceptado, rechazado o pendiente.</t>
  </si>
  <si>
    <t>DM-112</t>
  </si>
  <si>
    <t>Estado global entrega</t>
  </si>
  <si>
    <t>Aceptado; Rechazado; Pendiente</t>
  </si>
  <si>
    <t>Aceptado si todos aceptados; rechazado si existe al menos uno rechazado; de lo contrario pendiente.</t>
  </si>
  <si>
    <t>DM-113</t>
  </si>
  <si>
    <t>Porcentaje aceptado</t>
  </si>
  <si>
    <t>Activos aceptados / total de activos de la entrega.</t>
  </si>
  <si>
    <t>DM-114</t>
  </si>
  <si>
    <t>Transferencia formal</t>
  </si>
  <si>
    <t>Fecha de transferencia</t>
  </si>
  <si>
    <t>No permite confirmar sin fecha.</t>
  </si>
  <si>
    <t>DM-115</t>
  </si>
  <si>
    <t>No permite confirmar sin responsable.</t>
  </si>
  <si>
    <t>DM-116</t>
  </si>
  <si>
    <t>Observaciones</t>
  </si>
  <si>
    <t>Condiciones o restricciones.</t>
  </si>
  <si>
    <t>DM-117</t>
  </si>
  <si>
    <t>Pendientes aceptados</t>
  </si>
  <si>
    <t>Se guarda en el gate sin validar autoridad ni detalle.</t>
  </si>
  <si>
    <t>DM-118</t>
  </si>
  <si>
    <t>Gate</t>
  </si>
  <si>
    <t>Etapa origen/destino</t>
  </si>
  <si>
    <t>TM→Precom; Precom→Com; Com→PEM</t>
  </si>
  <si>
    <t>La etapa de origen se deriva del destino.</t>
  </si>
  <si>
    <t>DM-119</t>
  </si>
  <si>
    <t>Habilitación de etapa</t>
  </si>
  <si>
    <t>Un activo aparece en la etapa siguiente solo si existe gate de la transición con estado aceptado.</t>
  </si>
  <si>
    <t>DM-120</t>
  </si>
  <si>
    <t>Precom</t>
  </si>
  <si>
    <t>Bandeja Precom (TM)</t>
  </si>
  <si>
    <t>Selección de activos</t>
  </si>
  <si>
    <t>Pendientes de revisión</t>
  </si>
  <si>
    <t>Permite aceptar o rechazar individual o masivamente.</t>
  </si>
  <si>
    <t>DM-121</t>
  </si>
  <si>
    <t>Revisión</t>
  </si>
  <si>
    <t>Documentos cargados</t>
  </si>
  <si>
    <t>Número / total</t>
  </si>
  <si>
    <t>Cuenta PC aplicables con valor 1 sobre PC con valor definido.</t>
  </si>
  <si>
    <t>DM-122</t>
  </si>
  <si>
    <t>Aceptar activo</t>
  </si>
  <si>
    <t>Acción</t>
  </si>
  <si>
    <t>Cambia el estado del traspaso a aceptado.</t>
  </si>
  <si>
    <t>DM-123</t>
  </si>
  <si>
    <t>Rechazar activo</t>
  </si>
  <si>
    <t>Exige al menos una causa y cambia el estado a rechazado.</t>
  </si>
  <si>
    <t>DM-124</t>
  </si>
  <si>
    <t>Causas de rechazo</t>
  </si>
  <si>
    <t>A-1 a E-3</t>
  </si>
  <si>
    <t>Mismo catálogo de rechazo individual o masivo.</t>
  </si>
  <si>
    <t>DM-125</t>
  </si>
  <si>
    <t>Detalle libre del rechazo.</t>
  </si>
  <si>
    <t>DM-126</t>
  </si>
  <si>
    <t>Registro Precom</t>
  </si>
  <si>
    <t>Activos disponibles</t>
  </si>
  <si>
    <t>Solo gates TM→Precom con estado aceptado y disciplina seleccionada.</t>
  </si>
  <si>
    <t>DM-127</t>
  </si>
  <si>
    <t>Controles</t>
  </si>
  <si>
    <t>PC Precom</t>
  </si>
  <si>
    <t>Controles funcionales</t>
  </si>
  <si>
    <t>La vista usa PCS de la disciplina filtrados por obligatorio = No; no usa correctamente el catálogo Precom separado.</t>
  </si>
  <si>
    <t>Validar fuente única de controles.</t>
  </si>
  <si>
    <t>DM-128</t>
  </si>
  <si>
    <t>Avance Precom</t>
  </si>
  <si>
    <t>0%</t>
  </si>
  <si>
    <t>La demo fija completo = 0, parcial = 0 y pendientes = total.</t>
  </si>
  <si>
    <t>DM-129</t>
  </si>
  <si>
    <t>Bandeja Líder Precom</t>
  </si>
  <si>
    <t>Aprobar y transferir a Com</t>
  </si>
  <si>
    <t>Acción parcial</t>
  </si>
  <si>
    <t>Abre gate Precom→Com, pero no verifica 100% real de controles Precom.</t>
  </si>
  <si>
    <t>DM-130</t>
  </si>
  <si>
    <t>Entregas Precom</t>
  </si>
  <si>
    <t>Entrega</t>
  </si>
  <si>
    <t>Nueva entrega</t>
  </si>
  <si>
    <t>Acción no implementada</t>
  </si>
  <si>
    <t>Botón sin lógica asociada.</t>
  </si>
  <si>
    <t>DM-131</t>
  </si>
  <si>
    <t>Com</t>
  </si>
  <si>
    <t>Bandeja Com</t>
  </si>
  <si>
    <t>Recepción</t>
  </si>
  <si>
    <t>Activos recibidos</t>
  </si>
  <si>
    <t>Vista parcial</t>
  </si>
  <si>
    <t>La pantalla existe, pero siempre muestra vacío.</t>
  </si>
  <si>
    <t>DM-132</t>
  </si>
  <si>
    <t>Registro Com</t>
  </si>
  <si>
    <t>Registro</t>
  </si>
  <si>
    <t>Controles Com</t>
  </si>
  <si>
    <t>Vista no implementada</t>
  </si>
  <si>
    <t>Catálogo Com</t>
  </si>
  <si>
    <t>La pantalla describe la función, pero no registra datos.</t>
  </si>
  <si>
    <t>DM-133</t>
  </si>
  <si>
    <t>Bandeja Líder Com</t>
  </si>
  <si>
    <t>Aprobación</t>
  </si>
  <si>
    <t>Decisión del líder</t>
  </si>
  <si>
    <t>Aprobar; Rechazar</t>
  </si>
  <si>
    <t>La pantalla existe sin lógica.</t>
  </si>
  <si>
    <t>DM-134</t>
  </si>
  <si>
    <t>Entregas Com</t>
  </si>
  <si>
    <t>Entrega a cliente / PEM</t>
  </si>
  <si>
    <t>DM-135</t>
  </si>
  <si>
    <t>PEM</t>
  </si>
  <si>
    <t>Bandeja PEM</t>
  </si>
  <si>
    <t>DM-136</t>
  </si>
  <si>
    <t>Registro PEM</t>
  </si>
  <si>
    <t>Controles PEM</t>
  </si>
  <si>
    <t>Catálogo PEM</t>
  </si>
  <si>
    <t>DM-137</t>
  </si>
  <si>
    <t>Bandeja Líder PEM</t>
  </si>
  <si>
    <t>DM-138</t>
  </si>
  <si>
    <t>Entregas PEM</t>
  </si>
  <si>
    <t>Entrega formal</t>
  </si>
  <si>
    <t>DM-139</t>
  </si>
  <si>
    <t>Operaciones</t>
  </si>
  <si>
    <t>Traspaso Operaciones</t>
  </si>
  <si>
    <t>Activos entregados</t>
  </si>
  <si>
    <t>Propuesta final de la demo sin lógica.</t>
  </si>
  <si>
    <t>DM-140</t>
  </si>
  <si>
    <t>Repositorio</t>
  </si>
  <si>
    <t>Repositorio documental</t>
  </si>
  <si>
    <t>Cambia etiqueta de dossier y documentos demostrativos.</t>
  </si>
  <si>
    <t>DM-141</t>
  </si>
  <si>
    <t>Buscar</t>
  </si>
  <si>
    <t>TAG; formato; SOP</t>
  </si>
  <si>
    <t>La lista mostrada está fija y no aplica completamente los filtros.</t>
  </si>
  <si>
    <t>DM-142</t>
  </si>
  <si>
    <t>Documento</t>
  </si>
  <si>
    <t>Conforme; Pendiente firma; No conforme</t>
  </si>
  <si>
    <t>Datos demostrativos fijos.</t>
  </si>
  <si>
    <t>DM-143</t>
  </si>
  <si>
    <t>Exportar dossier</t>
  </si>
  <si>
    <t>Agrupación</t>
  </si>
  <si>
    <t>Agrupar por</t>
  </si>
  <si>
    <t>Sistema; Familia; Especialidad</t>
  </si>
  <si>
    <t>Determina la ruta lógica del ZIP.</t>
  </si>
  <si>
    <t>DM-144</t>
  </si>
  <si>
    <t>Ruta</t>
  </si>
  <si>
    <t>Estructura dossier</t>
  </si>
  <si>
    <t>Carpetas</t>
  </si>
  <si>
    <t>CTTA / Unidad 1 / agrupador / disciplina / TAG / PC.</t>
  </si>
  <si>
    <t>DM-145</t>
  </si>
  <si>
    <t>Contenido</t>
  </si>
  <si>
    <t>Índice CSV</t>
  </si>
  <si>
    <t>Archivo generado</t>
  </si>
  <si>
    <t>CSV</t>
  </si>
  <si>
    <t>Incluye TAG, sistema, familia, especialidad, PC, formato, SOP, revisión, archivo, estado, fecha y usuario.</t>
  </si>
  <si>
    <t>DM-146</t>
  </si>
  <si>
    <t>Protocolos PDF</t>
  </si>
  <si>
    <t>La demo genera texto con extensión PDF, no el archivo original.</t>
  </si>
  <si>
    <t>Flujo de la demo</t>
  </si>
  <si>
    <t>Módulo / pantalla</t>
  </si>
  <si>
    <t>Qué se valida</t>
  </si>
  <si>
    <t>Resultado esperado</t>
  </si>
  <si>
    <t>Buscar, filtrar y seleccionar proyecto</t>
  </si>
  <si>
    <t>Abrir proyecto</t>
  </si>
  <si>
    <t>Crear proyecto</t>
  </si>
  <si>
    <t>Completar datos y elegir configuración inicial</t>
  </si>
  <si>
    <t>Proyecto en configuración</t>
  </si>
  <si>
    <t>Crear o seleccionar plantilla de controles</t>
  </si>
  <si>
    <t>Configuración reutilizable</t>
  </si>
  <si>
    <t>Línea base de activos</t>
  </si>
  <si>
    <t>Simular/importar inventario de activos</t>
  </si>
  <si>
    <t>Crear y clasificar cada TAG</t>
  </si>
  <si>
    <t>Activo vigente o eliminado</t>
  </si>
  <si>
    <t>Línea base de PC</t>
  </si>
  <si>
    <t>Elegir etapa, disciplinas, controles y reglas</t>
  </si>
  <si>
    <t>PC activos</t>
  </si>
  <si>
    <t>Catálogo y aplicabilidad</t>
  </si>
  <si>
    <t>Revisar activos, PC y N/A por tipo</t>
  </si>
  <si>
    <t>Cargar resultados, avance físico y protocolos</t>
  </si>
  <si>
    <t>Activo completo</t>
  </si>
  <si>
    <t>Clasificar y asociar protocolos</t>
  </si>
  <si>
    <t>Documentos vinculados</t>
  </si>
  <si>
    <t>Dashboard y reportes</t>
  </si>
  <si>
    <t>Calcular contractual, readiness y brechas</t>
  </si>
  <si>
    <t>Visión de preparación</t>
  </si>
  <si>
    <t>Líder TM</t>
  </si>
  <si>
    <t>Enviar, aprobar o rechazar activos</t>
  </si>
  <si>
    <t>Activo aprobado</t>
  </si>
  <si>
    <t>Entrega y gate TM-PC</t>
  </si>
  <si>
    <t>Crear entrega y transferencia formal</t>
  </si>
  <si>
    <t>Activo habilitado en Precom</t>
  </si>
  <si>
    <t>Revisión Precom</t>
  </si>
  <si>
    <t>Aceptar o rechazar lo recibido</t>
  </si>
  <si>
    <t>Activo aceptado en Precom</t>
  </si>
  <si>
    <t>Ejecutar PC y aprobar para Com</t>
  </si>
  <si>
    <t>Parcial en la demo</t>
  </si>
  <si>
    <t>Comisionamiento</t>
  </si>
  <si>
    <t>Ejecutar y aprobar para PEM</t>
  </si>
  <si>
    <t>No implementado en la demo</t>
  </si>
  <si>
    <t>PEM y Operaciones</t>
  </si>
  <si>
    <t>Ejecutar, cerrar y transferir</t>
  </si>
  <si>
    <t>Consultar documentos y exportar dossier</t>
  </si>
  <si>
    <t>Cierre documental simulado</t>
  </si>
  <si>
    <t>Catálogos utilizados actualmente por la demo</t>
  </si>
  <si>
    <t>Código interno</t>
  </si>
  <si>
    <t>Etiqueta visible</t>
  </si>
  <si>
    <t>Comentario / cambio acordado</t>
  </si>
  <si>
    <t>Estado proyecto</t>
  </si>
  <si>
    <t>activo</t>
  </si>
  <si>
    <t>Activo</t>
  </si>
  <si>
    <t>config</t>
  </si>
  <si>
    <t>cerrado</t>
  </si>
  <si>
    <t>Cerrado</t>
  </si>
  <si>
    <t>Disciplina</t>
  </si>
  <si>
    <t>mec</t>
  </si>
  <si>
    <t>Mecánica</t>
  </si>
  <si>
    <t>pip</t>
  </si>
  <si>
    <t>Cañerías</t>
  </si>
  <si>
    <t>ele</t>
  </si>
  <si>
    <t>Electricidad</t>
  </si>
  <si>
    <t>ins</t>
  </si>
  <si>
    <t>Instrumentación</t>
  </si>
  <si>
    <t>Estado activo</t>
  </si>
  <si>
    <t>V</t>
  </si>
  <si>
    <t>Vigente</t>
  </si>
  <si>
    <t>E</t>
  </si>
  <si>
    <t>Eliminado</t>
  </si>
  <si>
    <t>cont</t>
  </si>
  <si>
    <t>En alcance contractual CTTA</t>
  </si>
  <si>
    <t>fa</t>
  </si>
  <si>
    <t>Fuera de alcance contractual</t>
  </si>
  <si>
    <t>1</t>
  </si>
  <si>
    <t>Caminata 1</t>
  </si>
  <si>
    <t>2</t>
  </si>
  <si>
    <t>Caminata 2</t>
  </si>
  <si>
    <t>3</t>
  </si>
  <si>
    <t>Caminata 3</t>
  </si>
  <si>
    <t>Resultado control</t>
  </si>
  <si>
    <t>null</t>
  </si>
  <si>
    <t>No aplica</t>
  </si>
  <si>
    <t>0</t>
  </si>
  <si>
    <t>No cargado / pendiente</t>
  </si>
  <si>
    <t>Cargado / conforme</t>
  </si>
  <si>
    <t>Aprobación líder</t>
  </si>
  <si>
    <t>pendiente</t>
  </si>
  <si>
    <t>aprobado</t>
  </si>
  <si>
    <t>Aprobado</t>
  </si>
  <si>
    <t>rechazado</t>
  </si>
  <si>
    <t>Rechazado</t>
  </si>
  <si>
    <t>Categoría rechazo</t>
  </si>
  <si>
    <t>A</t>
  </si>
  <si>
    <t>B</t>
  </si>
  <si>
    <t>Montaje</t>
  </si>
  <si>
    <t>C</t>
  </si>
  <si>
    <t>Condiciones físicas</t>
  </si>
  <si>
    <t>D</t>
  </si>
  <si>
    <t>Funcionales</t>
  </si>
  <si>
    <t>HMI</t>
  </si>
  <si>
    <t>tm → precom</t>
  </si>
  <si>
    <t>TM a Precom</t>
  </si>
  <si>
    <t>precom → com</t>
  </si>
  <si>
    <t>Precom a Com</t>
  </si>
  <si>
    <t>com → pem</t>
  </si>
  <si>
    <t>Com a PEM</t>
  </si>
  <si>
    <t>Validar si debe copiar activos, controles o solo configuración. (Solo se exportan los puntos de control y su configuración. No se incluyen activos, registros ni documentos.)</t>
  </si>
  <si>
    <t>Solo se exportan los puntos de control y su configuración. No se incluyen activos, registros ni documentos.</t>
  </si>
  <si>
    <t>archivo debe tener: Columnas: TAG, Especialidad, Estado, Alcance, Tipo, Descripción, P&amp;ID, Vendor, Prioridad, Edificio, Familia, Sistema, Subsistema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</si>
</sst>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5"/>
      <color rgb="FF17365D"/>
      <name val="Arial"/>
      <family val="2"/>
    </font>
    <font>
      <i/>
      <sz val="10"/>
      <color rgb="FF5B6573"/>
      <name val="Arial"/>
      <family val="2"/>
    </font>
    <font>
      <b/>
      <sz val="10"/>
      <color rgb="FF17365D"/>
      <name val="Arial"/>
      <family val="2"/>
    </font>
    <font>
      <sz val="9"/>
      <color rgb="FF1F2937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1F29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2" borderId="0" xfId="0" applyFont="1" applyFill="1"/>
    <xf numFmtId="0" fontId="5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6" fillId="3" borderId="0" xfId="0" applyFont="1" applyFill="1"/>
    <xf numFmtId="0" fontId="7" fillId="0" borderId="0" xfId="0" applyFont="1"/>
    <xf numFmtId="0" fontId="6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4" borderId="0" xfId="0" applyFont="1" applyFill="1"/>
    <xf numFmtId="0" fontId="1" fillId="0" borderId="0" xfId="0" applyFont="1"/>
    <xf numFmtId="0" fontId="2" fillId="0" borderId="0" xfId="0" applyFont="1"/>
    <xf numFmtId="0" fontId="8" fillId="0" borderId="0" xfId="0" applyFont="1" applyAlignment="1">
      <alignment vertical="top"/>
    </xf>
    <xf numFmtId="0" fontId="4" fillId="5" borderId="0" xfId="0" applyFont="1" applyFill="1" applyAlignment="1">
      <alignment vertical="top"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8E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Demo" displayName="MatrizDemo" ref="A7:M153" totalsRowShown="0">
  <autoFilter ref="A7:M153" xr:uid="{00000000-0009-0000-0100-000001000000}"/>
  <tableColumns count="13">
    <tableColumn id="1" xr3:uid="{00000000-0010-0000-0000-000001000000}" name="ID"/>
    <tableColumn id="2" xr3:uid="{00000000-0010-0000-0000-000002000000}" name="Paso"/>
    <tableColumn id="3" xr3:uid="{00000000-0010-0000-0000-000003000000}" name="Módulo"/>
    <tableColumn id="4" xr3:uid="{00000000-0010-0000-0000-000004000000}" name="Pantalla / formulario"/>
    <tableColumn id="5" xr3:uid="{00000000-0010-0000-0000-000005000000}" name="Sección"/>
    <tableColumn id="6" xr3:uid="{00000000-0010-0000-0000-000006000000}" name="Campo / indicador"/>
    <tableColumn id="7" xr3:uid="{00000000-0010-0000-0000-000007000000}" name="Tipo"/>
    <tableColumn id="8" xr3:uid="{00000000-0010-0000-0000-000008000000}" name="Obligatorio"/>
    <tableColumn id="9" xr3:uid="{00000000-0010-0000-0000-000009000000}" name="Valores / opciones"/>
    <tableColumn id="10" xr3:uid="{00000000-0010-0000-0000-00000A000000}" name="Regla o fórmula actual en la demo"/>
    <tableColumn id="11" xr3:uid="{00000000-0010-0000-0000-00000B000000}" name="Nota para validar"/>
    <tableColumn id="12" xr3:uid="{00000000-0010-0000-0000-00000C000000}" name="Validación cliente"/>
    <tableColumn id="13" xr3:uid="{00000000-0010-0000-0000-00000D000000}" name="Comentario / valor acord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ujoDemo" displayName="FlujoDemo" ref="A4:D21" totalsRowShown="0">
  <tableColumns count="4">
    <tableColumn id="1" xr3:uid="{00000000-0010-0000-0100-000001000000}" name="Paso"/>
    <tableColumn id="2" xr3:uid="{00000000-0010-0000-0100-000002000000}" name="Módulo / pantalla"/>
    <tableColumn id="3" xr3:uid="{00000000-0010-0000-0100-000003000000}" name="Qué se valida"/>
    <tableColumn id="4" xr3:uid="{00000000-0010-0000-0100-000004000000}" name="Resultado esper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alogosDemo" displayName="CatalogosDemo" ref="A4:D32" totalsRowShown="0">
  <tableColumns count="4">
    <tableColumn id="1" xr3:uid="{00000000-0010-0000-0200-000001000000}" name="Catálogo"/>
    <tableColumn id="2" xr3:uid="{00000000-0010-0000-0200-000002000000}" name="Código interno"/>
    <tableColumn id="3" xr3:uid="{00000000-0010-0000-0200-000003000000}" name="Etiqueta visible"/>
    <tableColumn id="4" xr3:uid="{00000000-0010-0000-0200-000004000000}" name="Comentario / cambio acord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M153"/>
  <sheetViews>
    <sheetView showGridLines="0" tabSelected="1" workbookViewId="0">
      <pane xSplit="4" ySplit="7" topLeftCell="E14" activePane="bottomRight" state="frozen"/>
      <selection pane="topRight"/>
      <selection pane="bottomLeft"/>
      <selection pane="bottomRight" activeCell="A35" sqref="A35"/>
    </sheetView>
  </sheetViews>
  <sheetFormatPr baseColWidth="10" defaultColWidth="8.83203125" defaultRowHeight="14"/>
  <cols>
    <col min="1" max="1" width="11" customWidth="1"/>
    <col min="2" max="2" width="8" customWidth="1"/>
    <col min="3" max="3" width="18" customWidth="1"/>
    <col min="4" max="4" width="26" customWidth="1"/>
    <col min="5" max="5" width="19" customWidth="1"/>
    <col min="6" max="6" width="29" customWidth="1"/>
    <col min="7" max="7" width="21" customWidth="1"/>
    <col min="8" max="8" width="13" customWidth="1"/>
    <col min="9" max="9" width="31" customWidth="1"/>
    <col min="10" max="10" width="52" customWidth="1"/>
    <col min="11" max="11" width="35" customWidth="1"/>
    <col min="12" max="12" width="19" customWidth="1"/>
    <col min="13" max="13" width="43" customWidth="1"/>
  </cols>
  <sheetData>
    <row r="1" spans="1:13" ht="18" customHeight="1"/>
    <row r="2" spans="1:13" ht="2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4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8" customHeight="1"/>
    <row r="5" spans="1:13" ht="18" customHeight="1">
      <c r="A5" s="1" t="s">
        <v>2</v>
      </c>
      <c r="B5" s="2">
        <f>COUNTA(A8:A153)</f>
        <v>146</v>
      </c>
      <c r="C5" s="1"/>
      <c r="D5" s="1" t="s">
        <v>3</v>
      </c>
      <c r="E5" s="1">
        <f>COUNTIF(L8:L153,"Aprobado")</f>
        <v>0</v>
      </c>
      <c r="F5" s="1"/>
      <c r="G5" s="1" t="s">
        <v>4</v>
      </c>
      <c r="H5" s="1">
        <f>COUNTIF(L8:L153,"Ajustar")</f>
        <v>0</v>
      </c>
      <c r="I5" s="1"/>
      <c r="J5" s="1" t="s">
        <v>5</v>
      </c>
      <c r="K5" s="1">
        <f>COUNTIF(L8:L153,"Pendiente")</f>
        <v>146</v>
      </c>
    </row>
    <row r="6" spans="1:13" ht="18" customHeight="1"/>
    <row r="7" spans="1:13" ht="36" customHeight="1">
      <c r="A7" s="3" t="s">
        <v>6</v>
      </c>
      <c r="B7" s="3" t="s">
        <v>7</v>
      </c>
      <c r="C7" s="3" t="s">
        <v>8</v>
      </c>
      <c r="D7" s="3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</row>
    <row r="8" spans="1:13" ht="15" customHeight="1">
      <c r="A8" s="4" t="s">
        <v>19</v>
      </c>
      <c r="B8" s="4">
        <v>1</v>
      </c>
      <c r="C8" s="4" t="s">
        <v>20</v>
      </c>
      <c r="D8" s="4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27</v>
      </c>
      <c r="K8" s="6"/>
      <c r="L8" s="7" t="s">
        <v>28</v>
      </c>
      <c r="M8" s="7"/>
    </row>
    <row r="9" spans="1:13" ht="15" customHeight="1">
      <c r="A9" s="4" t="s">
        <v>29</v>
      </c>
      <c r="B9" s="4">
        <v>1</v>
      </c>
      <c r="C9" s="4" t="s">
        <v>20</v>
      </c>
      <c r="D9" s="4" t="s">
        <v>21</v>
      </c>
      <c r="E9" s="6" t="s">
        <v>22</v>
      </c>
      <c r="F9" s="6" t="s">
        <v>30</v>
      </c>
      <c r="G9" s="6" t="s">
        <v>31</v>
      </c>
      <c r="H9" s="6" t="s">
        <v>25</v>
      </c>
      <c r="I9" s="6" t="s">
        <v>32</v>
      </c>
      <c r="J9" s="6" t="s">
        <v>33</v>
      </c>
      <c r="K9" s="6"/>
      <c r="L9" s="7" t="s">
        <v>28</v>
      </c>
      <c r="M9" s="7"/>
    </row>
    <row r="10" spans="1:13" ht="15" customHeight="1">
      <c r="A10" s="4" t="s">
        <v>34</v>
      </c>
      <c r="B10" s="4">
        <v>1</v>
      </c>
      <c r="C10" s="4" t="s">
        <v>20</v>
      </c>
      <c r="D10" s="4" t="s">
        <v>21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/>
      <c r="L10" s="7" t="s">
        <v>28</v>
      </c>
      <c r="M10" s="7"/>
    </row>
    <row r="11" spans="1:13" ht="15" customHeight="1">
      <c r="A11" s="4" t="s">
        <v>41</v>
      </c>
      <c r="B11" s="4">
        <v>1</v>
      </c>
      <c r="C11" s="4" t="s">
        <v>20</v>
      </c>
      <c r="D11" s="4" t="s">
        <v>21</v>
      </c>
      <c r="E11" s="6" t="s">
        <v>35</v>
      </c>
      <c r="F11" s="6" t="s">
        <v>42</v>
      </c>
      <c r="G11" s="6" t="s">
        <v>37</v>
      </c>
      <c r="H11" s="6" t="s">
        <v>38</v>
      </c>
      <c r="I11" s="6" t="s">
        <v>39</v>
      </c>
      <c r="J11" s="6" t="s">
        <v>43</v>
      </c>
      <c r="K11" s="6"/>
      <c r="L11" s="7" t="s">
        <v>28</v>
      </c>
      <c r="M11" s="7"/>
    </row>
    <row r="12" spans="1:13" ht="15" customHeight="1">
      <c r="A12" s="4" t="s">
        <v>44</v>
      </c>
      <c r="B12" s="4">
        <v>1</v>
      </c>
      <c r="C12" s="4" t="s">
        <v>20</v>
      </c>
      <c r="D12" s="4" t="s">
        <v>21</v>
      </c>
      <c r="E12" s="6" t="s">
        <v>35</v>
      </c>
      <c r="F12" s="6" t="s">
        <v>45</v>
      </c>
      <c r="G12" s="6" t="s">
        <v>37</v>
      </c>
      <c r="H12" s="6" t="s">
        <v>38</v>
      </c>
      <c r="I12" s="6" t="s">
        <v>39</v>
      </c>
      <c r="J12" s="6" t="s">
        <v>46</v>
      </c>
      <c r="K12" s="6"/>
      <c r="L12" s="7" t="s">
        <v>28</v>
      </c>
      <c r="M12" s="7"/>
    </row>
    <row r="13" spans="1:13" ht="15" customHeight="1">
      <c r="A13" s="4" t="s">
        <v>47</v>
      </c>
      <c r="B13" s="4">
        <v>1</v>
      </c>
      <c r="C13" s="4" t="s">
        <v>20</v>
      </c>
      <c r="D13" s="4" t="s">
        <v>21</v>
      </c>
      <c r="E13" s="6" t="s">
        <v>35</v>
      </c>
      <c r="F13" s="6" t="s">
        <v>48</v>
      </c>
      <c r="G13" s="6" t="s">
        <v>37</v>
      </c>
      <c r="H13" s="6" t="s">
        <v>38</v>
      </c>
      <c r="I13" s="6" t="s">
        <v>39</v>
      </c>
      <c r="J13" s="6" t="s">
        <v>49</v>
      </c>
      <c r="K13" s="6"/>
      <c r="L13" s="7" t="s">
        <v>28</v>
      </c>
      <c r="M13" s="7"/>
    </row>
    <row r="14" spans="1:13" ht="15" customHeight="1">
      <c r="A14" s="4" t="s">
        <v>50</v>
      </c>
      <c r="B14" s="4">
        <v>2</v>
      </c>
      <c r="C14" s="4" t="s">
        <v>51</v>
      </c>
      <c r="D14" s="4" t="s">
        <v>52</v>
      </c>
      <c r="E14" s="6" t="s">
        <v>53</v>
      </c>
      <c r="F14" s="6" t="s">
        <v>54</v>
      </c>
      <c r="G14" s="6" t="s">
        <v>55</v>
      </c>
      <c r="H14" s="6" t="s">
        <v>38</v>
      </c>
      <c r="I14" s="6" t="s">
        <v>56</v>
      </c>
      <c r="J14" s="6" t="s">
        <v>57</v>
      </c>
      <c r="K14" s="6"/>
      <c r="L14" s="7" t="s">
        <v>28</v>
      </c>
      <c r="M14" s="7"/>
    </row>
    <row r="15" spans="1:13" ht="15" customHeight="1">
      <c r="A15" s="4" t="s">
        <v>58</v>
      </c>
      <c r="B15" s="4">
        <v>2</v>
      </c>
      <c r="C15" s="4" t="s">
        <v>51</v>
      </c>
      <c r="D15" s="4" t="s">
        <v>52</v>
      </c>
      <c r="E15" s="6" t="s">
        <v>53</v>
      </c>
      <c r="F15" s="6" t="s">
        <v>59</v>
      </c>
      <c r="G15" s="6" t="s">
        <v>60</v>
      </c>
      <c r="H15" s="6" t="s">
        <v>25</v>
      </c>
      <c r="I15" s="6" t="s">
        <v>61</v>
      </c>
      <c r="J15" s="6" t="s">
        <v>62</v>
      </c>
      <c r="K15" s="6"/>
      <c r="L15" s="7" t="s">
        <v>28</v>
      </c>
      <c r="M15" s="7"/>
    </row>
    <row r="16" spans="1:13" ht="15" customHeight="1">
      <c r="A16" s="4" t="s">
        <v>63</v>
      </c>
      <c r="B16" s="4">
        <v>2</v>
      </c>
      <c r="C16" s="4" t="s">
        <v>51</v>
      </c>
      <c r="D16" s="4" t="s">
        <v>52</v>
      </c>
      <c r="E16" s="6" t="s">
        <v>53</v>
      </c>
      <c r="F16" s="6" t="s">
        <v>64</v>
      </c>
      <c r="G16" s="6" t="s">
        <v>24</v>
      </c>
      <c r="H16" s="6" t="s">
        <v>38</v>
      </c>
      <c r="I16" s="6"/>
      <c r="J16" s="6" t="s">
        <v>65</v>
      </c>
      <c r="K16" s="6"/>
      <c r="L16" s="7" t="s">
        <v>28</v>
      </c>
      <c r="M16" s="7"/>
    </row>
    <row r="17" spans="1:13" ht="15" customHeight="1">
      <c r="A17" s="4" t="s">
        <v>66</v>
      </c>
      <c r="B17" s="4">
        <v>2</v>
      </c>
      <c r="C17" s="4" t="s">
        <v>51</v>
      </c>
      <c r="D17" s="4" t="s">
        <v>52</v>
      </c>
      <c r="E17" s="6" t="s">
        <v>67</v>
      </c>
      <c r="F17" s="6" t="s">
        <v>68</v>
      </c>
      <c r="G17" s="6" t="s">
        <v>24</v>
      </c>
      <c r="H17" s="6" t="s">
        <v>25</v>
      </c>
      <c r="I17" s="6"/>
      <c r="J17" s="6" t="s">
        <v>69</v>
      </c>
      <c r="K17" s="6"/>
      <c r="L17" s="7" t="s">
        <v>28</v>
      </c>
      <c r="M17" s="7"/>
    </row>
    <row r="18" spans="1:13" ht="15" customHeight="1">
      <c r="A18" s="4" t="s">
        <v>70</v>
      </c>
      <c r="B18" s="4">
        <v>2</v>
      </c>
      <c r="C18" s="4" t="s">
        <v>51</v>
      </c>
      <c r="D18" s="4" t="s">
        <v>52</v>
      </c>
      <c r="E18" s="6" t="s">
        <v>67</v>
      </c>
      <c r="F18" s="6" t="s">
        <v>71</v>
      </c>
      <c r="G18" s="6" t="s">
        <v>24</v>
      </c>
      <c r="H18" s="6" t="s">
        <v>25</v>
      </c>
      <c r="I18" s="6"/>
      <c r="J18" s="6" t="s">
        <v>72</v>
      </c>
      <c r="K18" s="6"/>
      <c r="L18" s="7" t="s">
        <v>28</v>
      </c>
      <c r="M18" s="7"/>
    </row>
    <row r="19" spans="1:13" ht="15" customHeight="1">
      <c r="A19" s="4" t="s">
        <v>73</v>
      </c>
      <c r="B19" s="4">
        <v>2</v>
      </c>
      <c r="C19" s="4" t="s">
        <v>51</v>
      </c>
      <c r="D19" s="4" t="s">
        <v>52</v>
      </c>
      <c r="E19" s="6" t="s">
        <v>53</v>
      </c>
      <c r="F19" s="6" t="s">
        <v>74</v>
      </c>
      <c r="G19" s="6" t="s">
        <v>24</v>
      </c>
      <c r="H19" s="6" t="s">
        <v>25</v>
      </c>
      <c r="I19" s="6"/>
      <c r="J19" s="6" t="s">
        <v>75</v>
      </c>
      <c r="K19" s="6"/>
      <c r="L19" s="7" t="s">
        <v>28</v>
      </c>
      <c r="M19" s="7"/>
    </row>
    <row r="20" spans="1:13" ht="15" customHeight="1">
      <c r="A20" s="4" t="s">
        <v>76</v>
      </c>
      <c r="B20" s="4">
        <v>2</v>
      </c>
      <c r="C20" s="4" t="s">
        <v>51</v>
      </c>
      <c r="D20" s="4" t="s">
        <v>52</v>
      </c>
      <c r="E20" s="6" t="s">
        <v>77</v>
      </c>
      <c r="F20" s="6" t="s">
        <v>78</v>
      </c>
      <c r="G20" s="6" t="s">
        <v>79</v>
      </c>
      <c r="H20" s="6" t="s">
        <v>25</v>
      </c>
      <c r="I20" s="6"/>
      <c r="J20" s="6" t="s">
        <v>80</v>
      </c>
      <c r="K20" s="6"/>
      <c r="L20" s="7" t="s">
        <v>28</v>
      </c>
      <c r="M20" s="7"/>
    </row>
    <row r="21" spans="1:13" ht="15" customHeight="1">
      <c r="A21" s="4" t="s">
        <v>81</v>
      </c>
      <c r="B21" s="4">
        <v>2</v>
      </c>
      <c r="C21" s="4" t="s">
        <v>51</v>
      </c>
      <c r="D21" s="4" t="s">
        <v>52</v>
      </c>
      <c r="E21" s="6" t="s">
        <v>77</v>
      </c>
      <c r="F21" s="6" t="s">
        <v>82</v>
      </c>
      <c r="G21" s="6" t="s">
        <v>79</v>
      </c>
      <c r="H21" s="6" t="s">
        <v>25</v>
      </c>
      <c r="I21" s="6"/>
      <c r="J21" s="6" t="s">
        <v>83</v>
      </c>
      <c r="K21" s="6"/>
      <c r="L21" s="7" t="s">
        <v>28</v>
      </c>
      <c r="M21" s="7"/>
    </row>
    <row r="22" spans="1:13" ht="15" customHeight="1">
      <c r="A22" s="4" t="s">
        <v>84</v>
      </c>
      <c r="B22" s="4">
        <v>2</v>
      </c>
      <c r="C22" s="4" t="s">
        <v>51</v>
      </c>
      <c r="D22" s="4" t="s">
        <v>52</v>
      </c>
      <c r="E22" s="6" t="s">
        <v>85</v>
      </c>
      <c r="F22" s="6" t="s">
        <v>86</v>
      </c>
      <c r="G22" s="6" t="s">
        <v>87</v>
      </c>
      <c r="H22" s="6" t="s">
        <v>38</v>
      </c>
      <c r="I22" s="6" t="s">
        <v>88</v>
      </c>
      <c r="J22" s="6" t="s">
        <v>89</v>
      </c>
      <c r="K22" s="6"/>
      <c r="L22" s="7" t="s">
        <v>28</v>
      </c>
      <c r="M22" s="7"/>
    </row>
    <row r="23" spans="1:13" ht="21.5" customHeight="1">
      <c r="A23" s="4" t="s">
        <v>90</v>
      </c>
      <c r="B23" s="4">
        <v>2</v>
      </c>
      <c r="C23" s="4" t="s">
        <v>51</v>
      </c>
      <c r="D23" s="4" t="s">
        <v>52</v>
      </c>
      <c r="E23" s="6" t="s">
        <v>91</v>
      </c>
      <c r="F23" s="6" t="s">
        <v>92</v>
      </c>
      <c r="G23" s="6" t="s">
        <v>87</v>
      </c>
      <c r="H23" s="6" t="s">
        <v>25</v>
      </c>
      <c r="I23" s="6" t="s">
        <v>93</v>
      </c>
      <c r="J23" s="6" t="s">
        <v>94</v>
      </c>
      <c r="K23" s="16" t="s">
        <v>733</v>
      </c>
      <c r="L23" s="7" t="s">
        <v>28</v>
      </c>
      <c r="M23" s="7"/>
    </row>
    <row r="24" spans="1:13" ht="15" customHeight="1">
      <c r="A24" s="4" t="s">
        <v>95</v>
      </c>
      <c r="B24" s="4">
        <v>2</v>
      </c>
      <c r="C24" s="4" t="s">
        <v>51</v>
      </c>
      <c r="D24" s="4" t="s">
        <v>52</v>
      </c>
      <c r="E24" s="6" t="s">
        <v>96</v>
      </c>
      <c r="F24" s="6" t="s">
        <v>97</v>
      </c>
      <c r="G24" s="6" t="s">
        <v>37</v>
      </c>
      <c r="H24" s="6" t="s">
        <v>38</v>
      </c>
      <c r="I24" s="6" t="s">
        <v>45</v>
      </c>
      <c r="J24" s="6" t="s">
        <v>98</v>
      </c>
      <c r="K24" s="6"/>
      <c r="L24" s="7" t="s">
        <v>28</v>
      </c>
      <c r="M24" s="7"/>
    </row>
    <row r="25" spans="1:13" ht="15" customHeight="1">
      <c r="A25" s="4" t="s">
        <v>99</v>
      </c>
      <c r="B25" s="4">
        <v>3</v>
      </c>
      <c r="C25" s="4" t="s">
        <v>100</v>
      </c>
      <c r="D25" s="4" t="s">
        <v>101</v>
      </c>
      <c r="E25" s="6" t="s">
        <v>102</v>
      </c>
      <c r="F25" s="6" t="s">
        <v>103</v>
      </c>
      <c r="G25" s="6" t="s">
        <v>87</v>
      </c>
      <c r="H25" s="6" t="s">
        <v>38</v>
      </c>
      <c r="I25" s="6" t="s">
        <v>104</v>
      </c>
      <c r="J25" s="6" t="s">
        <v>105</v>
      </c>
      <c r="K25" s="6"/>
      <c r="L25" s="7" t="s">
        <v>28</v>
      </c>
      <c r="M25" s="7"/>
    </row>
    <row r="26" spans="1:13" ht="15" customHeight="1">
      <c r="A26" s="4" t="s">
        <v>106</v>
      </c>
      <c r="B26" s="4">
        <v>3</v>
      </c>
      <c r="C26" s="4" t="s">
        <v>100</v>
      </c>
      <c r="D26" s="4" t="s">
        <v>101</v>
      </c>
      <c r="E26" s="6" t="s">
        <v>107</v>
      </c>
      <c r="F26" s="6" t="s">
        <v>108</v>
      </c>
      <c r="G26" s="6" t="s">
        <v>24</v>
      </c>
      <c r="H26" s="6" t="s">
        <v>38</v>
      </c>
      <c r="I26" s="6"/>
      <c r="J26" s="6" t="s">
        <v>65</v>
      </c>
      <c r="K26" s="6"/>
      <c r="L26" s="7" t="s">
        <v>28</v>
      </c>
      <c r="M26" s="7"/>
    </row>
    <row r="27" spans="1:13" ht="15" customHeight="1">
      <c r="A27" s="4" t="s">
        <v>109</v>
      </c>
      <c r="B27" s="4">
        <v>3</v>
      </c>
      <c r="C27" s="4" t="s">
        <v>100</v>
      </c>
      <c r="D27" s="4" t="s">
        <v>101</v>
      </c>
      <c r="E27" s="6" t="s">
        <v>107</v>
      </c>
      <c r="F27" s="6" t="s">
        <v>110</v>
      </c>
      <c r="G27" s="6" t="s">
        <v>111</v>
      </c>
      <c r="H27" s="6" t="s">
        <v>25</v>
      </c>
      <c r="I27" s="6"/>
      <c r="J27" s="6" t="s">
        <v>112</v>
      </c>
      <c r="K27" s="6"/>
      <c r="L27" s="7" t="s">
        <v>28</v>
      </c>
      <c r="M27" s="7"/>
    </row>
    <row r="28" spans="1:13" ht="15" customHeight="1">
      <c r="A28" s="4" t="s">
        <v>113</v>
      </c>
      <c r="B28" s="4">
        <v>3</v>
      </c>
      <c r="C28" s="4" t="s">
        <v>100</v>
      </c>
      <c r="D28" s="4" t="s">
        <v>101</v>
      </c>
      <c r="E28" s="6" t="s">
        <v>96</v>
      </c>
      <c r="F28" s="6" t="s">
        <v>114</v>
      </c>
      <c r="G28" s="6" t="s">
        <v>37</v>
      </c>
      <c r="H28" s="6" t="s">
        <v>38</v>
      </c>
      <c r="I28" s="6" t="s">
        <v>39</v>
      </c>
      <c r="J28" s="6" t="s">
        <v>734</v>
      </c>
      <c r="K28" s="6"/>
      <c r="L28" s="7" t="s">
        <v>28</v>
      </c>
      <c r="M28" s="7"/>
    </row>
    <row r="29" spans="1:13" ht="15" customHeight="1">
      <c r="A29" s="4" t="s">
        <v>115</v>
      </c>
      <c r="B29" s="4">
        <v>4</v>
      </c>
      <c r="C29" s="4" t="s">
        <v>116</v>
      </c>
      <c r="D29" s="4" t="s">
        <v>117</v>
      </c>
      <c r="E29" s="6" t="s">
        <v>118</v>
      </c>
      <c r="F29" s="6" t="s">
        <v>119</v>
      </c>
      <c r="G29" s="6" t="s">
        <v>120</v>
      </c>
      <c r="H29" s="6" t="s">
        <v>25</v>
      </c>
      <c r="I29" s="6" t="s">
        <v>121</v>
      </c>
      <c r="J29" s="16" t="s">
        <v>735</v>
      </c>
      <c r="K29" s="6"/>
      <c r="L29" s="7" t="s">
        <v>28</v>
      </c>
      <c r="M29" s="7"/>
    </row>
    <row r="30" spans="1:13" ht="21.5" customHeight="1">
      <c r="A30" s="4" t="s">
        <v>122</v>
      </c>
      <c r="B30" s="4">
        <v>4</v>
      </c>
      <c r="C30" s="4" t="s">
        <v>116</v>
      </c>
      <c r="D30" s="4" t="s">
        <v>117</v>
      </c>
      <c r="E30" s="6" t="s">
        <v>118</v>
      </c>
      <c r="F30" s="6" t="s">
        <v>123</v>
      </c>
      <c r="G30" s="6" t="s">
        <v>124</v>
      </c>
      <c r="H30" s="6" t="s">
        <v>38</v>
      </c>
      <c r="I30" s="6" t="s">
        <v>125</v>
      </c>
      <c r="J30" s="6" t="s">
        <v>126</v>
      </c>
      <c r="K30" s="6" t="s">
        <v>127</v>
      </c>
      <c r="L30" s="7" t="s">
        <v>28</v>
      </c>
      <c r="M30" s="7"/>
    </row>
    <row r="31" spans="1:13" ht="15" customHeight="1">
      <c r="A31" s="4" t="s">
        <v>128</v>
      </c>
      <c r="B31" s="4">
        <v>4</v>
      </c>
      <c r="C31" s="4" t="s">
        <v>116</v>
      </c>
      <c r="D31" s="4" t="s">
        <v>117</v>
      </c>
      <c r="E31" s="6" t="s">
        <v>35</v>
      </c>
      <c r="F31" s="6" t="s">
        <v>129</v>
      </c>
      <c r="G31" s="6" t="s">
        <v>37</v>
      </c>
      <c r="H31" s="6" t="s">
        <v>38</v>
      </c>
      <c r="I31" s="6" t="s">
        <v>39</v>
      </c>
      <c r="J31" s="6" t="s">
        <v>130</v>
      </c>
      <c r="K31" s="6"/>
      <c r="L31" s="7" t="s">
        <v>28</v>
      </c>
      <c r="M31" s="7"/>
    </row>
    <row r="32" spans="1:13" ht="15" customHeight="1">
      <c r="A32" s="4" t="s">
        <v>131</v>
      </c>
      <c r="B32" s="4">
        <v>4</v>
      </c>
      <c r="C32" s="4" t="s">
        <v>116</v>
      </c>
      <c r="D32" s="4" t="s">
        <v>117</v>
      </c>
      <c r="E32" s="6" t="s">
        <v>35</v>
      </c>
      <c r="F32" s="6" t="s">
        <v>132</v>
      </c>
      <c r="G32" s="6" t="s">
        <v>37</v>
      </c>
      <c r="H32" s="6" t="s">
        <v>38</v>
      </c>
      <c r="I32" s="6" t="s">
        <v>39</v>
      </c>
      <c r="J32" s="6" t="s">
        <v>133</v>
      </c>
      <c r="K32" s="6"/>
      <c r="L32" s="7" t="s">
        <v>28</v>
      </c>
      <c r="M32" s="7"/>
    </row>
    <row r="33" spans="1:13" ht="15" customHeight="1">
      <c r="A33" s="4" t="s">
        <v>134</v>
      </c>
      <c r="B33" s="4">
        <v>4</v>
      </c>
      <c r="C33" s="4" t="s">
        <v>116</v>
      </c>
      <c r="D33" s="4" t="s">
        <v>117</v>
      </c>
      <c r="E33" s="6" t="s">
        <v>35</v>
      </c>
      <c r="F33" s="6" t="s">
        <v>135</v>
      </c>
      <c r="G33" s="6" t="s">
        <v>37</v>
      </c>
      <c r="H33" s="6" t="s">
        <v>38</v>
      </c>
      <c r="I33" s="6" t="s">
        <v>39</v>
      </c>
      <c r="J33" s="6" t="s">
        <v>136</v>
      </c>
      <c r="K33" s="6"/>
      <c r="L33" s="7" t="s">
        <v>28</v>
      </c>
      <c r="M33" s="7"/>
    </row>
    <row r="34" spans="1:13" ht="15" customHeight="1">
      <c r="A34" s="4" t="s">
        <v>137</v>
      </c>
      <c r="B34" s="4">
        <v>4</v>
      </c>
      <c r="C34" s="4" t="s">
        <v>116</v>
      </c>
      <c r="D34" s="4" t="s">
        <v>117</v>
      </c>
      <c r="E34" s="6" t="s">
        <v>35</v>
      </c>
      <c r="F34" s="6" t="s">
        <v>138</v>
      </c>
      <c r="G34" s="6" t="s">
        <v>37</v>
      </c>
      <c r="H34" s="6" t="s">
        <v>38</v>
      </c>
      <c r="I34" s="6" t="s">
        <v>39</v>
      </c>
      <c r="J34" s="6" t="s">
        <v>139</v>
      </c>
      <c r="K34" s="6"/>
      <c r="L34" s="7" t="s">
        <v>28</v>
      </c>
      <c r="M34" s="7"/>
    </row>
    <row r="35" spans="1:13" ht="15" customHeight="1">
      <c r="A35" s="4" t="s">
        <v>140</v>
      </c>
      <c r="B35" s="4">
        <v>5</v>
      </c>
      <c r="C35" s="4" t="s">
        <v>141</v>
      </c>
      <c r="D35" s="4" t="s">
        <v>142</v>
      </c>
      <c r="E35" s="6" t="s">
        <v>107</v>
      </c>
      <c r="F35" s="6" t="s">
        <v>143</v>
      </c>
      <c r="G35" s="6" t="s">
        <v>55</v>
      </c>
      <c r="H35" s="6" t="s">
        <v>38</v>
      </c>
      <c r="I35" s="6"/>
      <c r="J35" s="6" t="s">
        <v>144</v>
      </c>
      <c r="K35" s="6"/>
      <c r="L35" s="7" t="s">
        <v>28</v>
      </c>
      <c r="M35" s="7"/>
    </row>
    <row r="36" spans="1:13" ht="15" customHeight="1">
      <c r="A36" s="4" t="s">
        <v>145</v>
      </c>
      <c r="B36" s="4">
        <v>5</v>
      </c>
      <c r="C36" s="4" t="s">
        <v>141</v>
      </c>
      <c r="D36" s="4" t="s">
        <v>142</v>
      </c>
      <c r="E36" s="6" t="s">
        <v>107</v>
      </c>
      <c r="F36" s="6" t="s">
        <v>110</v>
      </c>
      <c r="G36" s="6" t="s">
        <v>24</v>
      </c>
      <c r="H36" s="6" t="s">
        <v>38</v>
      </c>
      <c r="I36" s="6"/>
      <c r="J36" s="6" t="s">
        <v>146</v>
      </c>
      <c r="K36" s="6"/>
      <c r="L36" s="7" t="s">
        <v>28</v>
      </c>
      <c r="M36" s="7"/>
    </row>
    <row r="37" spans="1:13" ht="15" customHeight="1">
      <c r="A37" s="4" t="s">
        <v>147</v>
      </c>
      <c r="B37" s="4">
        <v>5</v>
      </c>
      <c r="C37" s="4" t="s">
        <v>141</v>
      </c>
      <c r="D37" s="4" t="s">
        <v>142</v>
      </c>
      <c r="E37" s="6" t="s">
        <v>148</v>
      </c>
      <c r="F37" s="6" t="s">
        <v>12</v>
      </c>
      <c r="G37" s="6" t="s">
        <v>55</v>
      </c>
      <c r="H37" s="6" t="s">
        <v>25</v>
      </c>
      <c r="I37" s="6" t="s">
        <v>149</v>
      </c>
      <c r="J37" s="6" t="s">
        <v>150</v>
      </c>
      <c r="K37" s="6"/>
      <c r="L37" s="7" t="s">
        <v>28</v>
      </c>
      <c r="M37" s="7"/>
    </row>
    <row r="38" spans="1:13" ht="15" customHeight="1">
      <c r="A38" s="4" t="s">
        <v>151</v>
      </c>
      <c r="B38" s="4">
        <v>5</v>
      </c>
      <c r="C38" s="4" t="s">
        <v>141</v>
      </c>
      <c r="D38" s="4" t="s">
        <v>142</v>
      </c>
      <c r="E38" s="6" t="s">
        <v>148</v>
      </c>
      <c r="F38" s="6" t="s">
        <v>152</v>
      </c>
      <c r="G38" s="6" t="s">
        <v>31</v>
      </c>
      <c r="H38" s="6" t="s">
        <v>38</v>
      </c>
      <c r="I38" s="6" t="s">
        <v>153</v>
      </c>
      <c r="J38" s="16" t="s">
        <v>154</v>
      </c>
      <c r="K38" s="6"/>
      <c r="L38" s="7" t="s">
        <v>28</v>
      </c>
      <c r="M38" s="7"/>
    </row>
    <row r="39" spans="1:13" ht="15" customHeight="1">
      <c r="A39" s="4" t="s">
        <v>155</v>
      </c>
      <c r="B39" s="4">
        <v>5</v>
      </c>
      <c r="C39" s="4" t="s">
        <v>141</v>
      </c>
      <c r="D39" s="4" t="s">
        <v>142</v>
      </c>
      <c r="E39" s="6" t="s">
        <v>30</v>
      </c>
      <c r="F39" s="6" t="s">
        <v>156</v>
      </c>
      <c r="G39" s="6" t="s">
        <v>31</v>
      </c>
      <c r="H39" s="6" t="s">
        <v>38</v>
      </c>
      <c r="I39" s="6" t="s">
        <v>157</v>
      </c>
      <c r="J39" s="6" t="s">
        <v>158</v>
      </c>
      <c r="K39" s="6"/>
      <c r="L39" s="7" t="s">
        <v>28</v>
      </c>
      <c r="M39" s="7"/>
    </row>
    <row r="40" spans="1:13" ht="21.5" customHeight="1">
      <c r="A40" s="4" t="s">
        <v>159</v>
      </c>
      <c r="B40" s="4">
        <v>5</v>
      </c>
      <c r="C40" s="4" t="s">
        <v>141</v>
      </c>
      <c r="D40" s="4" t="s">
        <v>142</v>
      </c>
      <c r="E40" s="6" t="s">
        <v>160</v>
      </c>
      <c r="F40" s="6" t="s">
        <v>161</v>
      </c>
      <c r="G40" s="6" t="s">
        <v>31</v>
      </c>
      <c r="H40" s="6" t="s">
        <v>38</v>
      </c>
      <c r="I40" s="6" t="s">
        <v>162</v>
      </c>
      <c r="J40" s="16" t="s">
        <v>163</v>
      </c>
      <c r="K40" s="6"/>
      <c r="L40" s="7" t="s">
        <v>28</v>
      </c>
      <c r="M40" s="7"/>
    </row>
    <row r="41" spans="1:13" ht="15" customHeight="1">
      <c r="A41" s="4" t="s">
        <v>164</v>
      </c>
      <c r="B41" s="4">
        <v>5</v>
      </c>
      <c r="C41" s="4" t="s">
        <v>141</v>
      </c>
      <c r="D41" s="4" t="s">
        <v>142</v>
      </c>
      <c r="E41" s="6" t="s">
        <v>165</v>
      </c>
      <c r="F41" s="6" t="s">
        <v>166</v>
      </c>
      <c r="G41" s="6" t="s">
        <v>31</v>
      </c>
      <c r="H41" s="6" t="s">
        <v>38</v>
      </c>
      <c r="I41" s="6" t="s">
        <v>167</v>
      </c>
      <c r="J41" s="6" t="s">
        <v>168</v>
      </c>
      <c r="K41" s="6"/>
      <c r="L41" s="7" t="s">
        <v>28</v>
      </c>
      <c r="M41" s="7"/>
    </row>
    <row r="42" spans="1:13" ht="15" customHeight="1">
      <c r="A42" s="4" t="s">
        <v>169</v>
      </c>
      <c r="B42" s="4">
        <v>5</v>
      </c>
      <c r="C42" s="4" t="s">
        <v>141</v>
      </c>
      <c r="D42" s="4" t="s">
        <v>142</v>
      </c>
      <c r="E42" s="6" t="s">
        <v>170</v>
      </c>
      <c r="F42" s="6" t="s">
        <v>171</v>
      </c>
      <c r="G42" s="6" t="s">
        <v>24</v>
      </c>
      <c r="H42" s="6" t="s">
        <v>25</v>
      </c>
      <c r="I42" s="6"/>
      <c r="J42" s="6" t="s">
        <v>172</v>
      </c>
      <c r="K42" s="6"/>
      <c r="L42" s="7" t="s">
        <v>28</v>
      </c>
      <c r="M42" s="7"/>
    </row>
    <row r="43" spans="1:13" ht="15" customHeight="1">
      <c r="A43" s="4" t="s">
        <v>173</v>
      </c>
      <c r="B43" s="4">
        <v>5</v>
      </c>
      <c r="C43" s="4" t="s">
        <v>141</v>
      </c>
      <c r="D43" s="4" t="s">
        <v>142</v>
      </c>
      <c r="E43" s="6" t="s">
        <v>170</v>
      </c>
      <c r="F43" s="6" t="s">
        <v>174</v>
      </c>
      <c r="G43" s="6" t="s">
        <v>24</v>
      </c>
      <c r="H43" s="6" t="s">
        <v>25</v>
      </c>
      <c r="I43" s="6"/>
      <c r="J43" s="6" t="s">
        <v>175</v>
      </c>
      <c r="K43" s="6"/>
      <c r="L43" s="7" t="s">
        <v>28</v>
      </c>
      <c r="M43" s="7"/>
    </row>
    <row r="44" spans="1:13" ht="15" customHeight="1">
      <c r="A44" s="4" t="s">
        <v>176</v>
      </c>
      <c r="B44" s="4">
        <v>5</v>
      </c>
      <c r="C44" s="4" t="s">
        <v>141</v>
      </c>
      <c r="D44" s="4" t="s">
        <v>142</v>
      </c>
      <c r="E44" s="6" t="s">
        <v>170</v>
      </c>
      <c r="F44" s="6" t="s">
        <v>177</v>
      </c>
      <c r="G44" s="6" t="s">
        <v>24</v>
      </c>
      <c r="H44" s="6" t="s">
        <v>25</v>
      </c>
      <c r="I44" s="6"/>
      <c r="J44" s="6" t="s">
        <v>178</v>
      </c>
      <c r="K44" s="6"/>
      <c r="L44" s="7" t="s">
        <v>28</v>
      </c>
      <c r="M44" s="7"/>
    </row>
    <row r="45" spans="1:13" ht="15" customHeight="1">
      <c r="A45" s="4" t="s">
        <v>179</v>
      </c>
      <c r="B45" s="4">
        <v>5</v>
      </c>
      <c r="C45" s="4" t="s">
        <v>141</v>
      </c>
      <c r="D45" s="4" t="s">
        <v>142</v>
      </c>
      <c r="E45" s="6" t="s">
        <v>148</v>
      </c>
      <c r="F45" s="6" t="s">
        <v>180</v>
      </c>
      <c r="G45" s="6" t="s">
        <v>24</v>
      </c>
      <c r="H45" s="6" t="s">
        <v>25</v>
      </c>
      <c r="I45" s="6"/>
      <c r="J45" s="6" t="s">
        <v>181</v>
      </c>
      <c r="K45" s="6"/>
      <c r="L45" s="7" t="s">
        <v>28</v>
      </c>
      <c r="M45" s="7"/>
    </row>
    <row r="46" spans="1:13" ht="15" customHeight="1">
      <c r="A46" s="4" t="s">
        <v>182</v>
      </c>
      <c r="B46" s="4">
        <v>5</v>
      </c>
      <c r="C46" s="4" t="s">
        <v>141</v>
      </c>
      <c r="D46" s="4" t="s">
        <v>142</v>
      </c>
      <c r="E46" s="6" t="s">
        <v>183</v>
      </c>
      <c r="F46" s="6" t="s">
        <v>184</v>
      </c>
      <c r="G46" s="6" t="s">
        <v>24</v>
      </c>
      <c r="H46" s="6" t="s">
        <v>25</v>
      </c>
      <c r="I46" s="6"/>
      <c r="J46" s="6" t="s">
        <v>185</v>
      </c>
      <c r="K46" s="6"/>
      <c r="L46" s="7" t="s">
        <v>28</v>
      </c>
      <c r="M46" s="7"/>
    </row>
    <row r="47" spans="1:13" ht="15" customHeight="1">
      <c r="A47" s="4" t="s">
        <v>186</v>
      </c>
      <c r="B47" s="4">
        <v>5</v>
      </c>
      <c r="C47" s="4" t="s">
        <v>141</v>
      </c>
      <c r="D47" s="4" t="s">
        <v>142</v>
      </c>
      <c r="E47" s="6" t="s">
        <v>187</v>
      </c>
      <c r="F47" s="6" t="s">
        <v>188</v>
      </c>
      <c r="G47" s="6" t="s">
        <v>55</v>
      </c>
      <c r="H47" s="6" t="s">
        <v>25</v>
      </c>
      <c r="I47" s="6"/>
      <c r="J47" s="6" t="s">
        <v>185</v>
      </c>
      <c r="K47" s="6"/>
      <c r="L47" s="7" t="s">
        <v>28</v>
      </c>
      <c r="M47" s="7"/>
    </row>
    <row r="48" spans="1:13" ht="21.5" customHeight="1">
      <c r="A48" s="15" t="s">
        <v>189</v>
      </c>
      <c r="B48" s="4">
        <v>5</v>
      </c>
      <c r="C48" s="4" t="s">
        <v>141</v>
      </c>
      <c r="D48" s="4" t="s">
        <v>190</v>
      </c>
      <c r="E48" s="6" t="s">
        <v>191</v>
      </c>
      <c r="F48" s="6" t="s">
        <v>192</v>
      </c>
      <c r="G48" s="6" t="s">
        <v>193</v>
      </c>
      <c r="H48" s="6" t="s">
        <v>25</v>
      </c>
      <c r="I48" s="6" t="s">
        <v>194</v>
      </c>
      <c r="J48" s="16" t="s">
        <v>195</v>
      </c>
      <c r="K48" s="6"/>
      <c r="L48" s="7" t="s">
        <v>28</v>
      </c>
      <c r="M48" s="7"/>
    </row>
    <row r="49" spans="1:13" ht="15" customHeight="1">
      <c r="A49" s="4" t="s">
        <v>196</v>
      </c>
      <c r="B49" s="4">
        <v>6</v>
      </c>
      <c r="C49" s="4" t="s">
        <v>116</v>
      </c>
      <c r="D49" s="4" t="s">
        <v>197</v>
      </c>
      <c r="E49" s="6" t="s">
        <v>198</v>
      </c>
      <c r="F49" s="6" t="s">
        <v>199</v>
      </c>
      <c r="G49" s="6" t="s">
        <v>31</v>
      </c>
      <c r="H49" s="6" t="s">
        <v>38</v>
      </c>
      <c r="I49" s="6" t="s">
        <v>200</v>
      </c>
      <c r="J49" s="6" t="s">
        <v>201</v>
      </c>
      <c r="K49" s="6"/>
      <c r="L49" s="7" t="s">
        <v>28</v>
      </c>
      <c r="M49" s="7"/>
    </row>
    <row r="50" spans="1:13" ht="15" customHeight="1">
      <c r="A50" s="4" t="s">
        <v>202</v>
      </c>
      <c r="B50" s="4">
        <v>6</v>
      </c>
      <c r="C50" s="4" t="s">
        <v>116</v>
      </c>
      <c r="D50" s="4" t="s">
        <v>197</v>
      </c>
      <c r="E50" s="6" t="s">
        <v>102</v>
      </c>
      <c r="F50" s="6" t="s">
        <v>203</v>
      </c>
      <c r="G50" s="6" t="s">
        <v>120</v>
      </c>
      <c r="H50" s="6" t="s">
        <v>25</v>
      </c>
      <c r="I50" s="6" t="s">
        <v>204</v>
      </c>
      <c r="J50" s="6" t="s">
        <v>205</v>
      </c>
      <c r="K50" s="6"/>
      <c r="L50" s="7" t="s">
        <v>28</v>
      </c>
      <c r="M50" s="7"/>
    </row>
    <row r="51" spans="1:13" ht="15" customHeight="1">
      <c r="A51" s="4" t="s">
        <v>206</v>
      </c>
      <c r="B51" s="4">
        <v>6</v>
      </c>
      <c r="C51" s="4" t="s">
        <v>116</v>
      </c>
      <c r="D51" s="4" t="s">
        <v>197</v>
      </c>
      <c r="E51" s="6" t="s">
        <v>102</v>
      </c>
      <c r="F51" s="6" t="s">
        <v>92</v>
      </c>
      <c r="G51" s="6" t="s">
        <v>87</v>
      </c>
      <c r="H51" s="6" t="s">
        <v>25</v>
      </c>
      <c r="I51" s="6" t="s">
        <v>207</v>
      </c>
      <c r="J51" s="6" t="s">
        <v>208</v>
      </c>
      <c r="K51" s="6"/>
      <c r="L51" s="7" t="s">
        <v>28</v>
      </c>
      <c r="M51" s="7"/>
    </row>
    <row r="52" spans="1:13" ht="15" customHeight="1">
      <c r="A52" s="4" t="s">
        <v>209</v>
      </c>
      <c r="B52" s="4">
        <v>6</v>
      </c>
      <c r="C52" s="4" t="s">
        <v>116</v>
      </c>
      <c r="D52" s="4" t="s">
        <v>210</v>
      </c>
      <c r="E52" s="6" t="s">
        <v>211</v>
      </c>
      <c r="F52" s="6" t="s">
        <v>198</v>
      </c>
      <c r="G52" s="6" t="s">
        <v>31</v>
      </c>
      <c r="H52" s="6" t="s">
        <v>38</v>
      </c>
      <c r="I52" s="6" t="s">
        <v>200</v>
      </c>
      <c r="J52" s="6" t="s">
        <v>212</v>
      </c>
      <c r="K52" s="6"/>
      <c r="L52" s="7" t="s">
        <v>28</v>
      </c>
      <c r="M52" s="7"/>
    </row>
    <row r="53" spans="1:13" ht="15" customHeight="1">
      <c r="A53" s="4" t="s">
        <v>213</v>
      </c>
      <c r="B53" s="4">
        <v>6</v>
      </c>
      <c r="C53" s="4" t="s">
        <v>116</v>
      </c>
      <c r="D53" s="4" t="s">
        <v>210</v>
      </c>
      <c r="E53" s="6" t="s">
        <v>214</v>
      </c>
      <c r="F53" s="6" t="s">
        <v>215</v>
      </c>
      <c r="G53" s="6" t="s">
        <v>216</v>
      </c>
      <c r="H53" s="6" t="s">
        <v>38</v>
      </c>
      <c r="I53" s="6" t="s">
        <v>153</v>
      </c>
      <c r="J53" s="6" t="s">
        <v>217</v>
      </c>
      <c r="K53" s="6"/>
      <c r="L53" s="7" t="s">
        <v>28</v>
      </c>
      <c r="M53" s="7"/>
    </row>
    <row r="54" spans="1:13" ht="15" customHeight="1">
      <c r="A54" s="4" t="s">
        <v>218</v>
      </c>
      <c r="B54" s="4">
        <v>6</v>
      </c>
      <c r="C54" s="4" t="s">
        <v>116</v>
      </c>
      <c r="D54" s="4" t="s">
        <v>210</v>
      </c>
      <c r="E54" s="6" t="s">
        <v>219</v>
      </c>
      <c r="F54" s="6" t="s">
        <v>197</v>
      </c>
      <c r="G54" s="6" t="s">
        <v>216</v>
      </c>
      <c r="H54" s="6" t="s">
        <v>38</v>
      </c>
      <c r="I54" s="6" t="s">
        <v>220</v>
      </c>
      <c r="J54" s="6" t="s">
        <v>221</v>
      </c>
      <c r="K54" s="6"/>
      <c r="L54" s="7" t="s">
        <v>28</v>
      </c>
      <c r="M54" s="7"/>
    </row>
    <row r="55" spans="1:13" ht="15" customHeight="1">
      <c r="A55" s="4" t="s">
        <v>222</v>
      </c>
      <c r="B55" s="4">
        <v>6</v>
      </c>
      <c r="C55" s="4" t="s">
        <v>116</v>
      </c>
      <c r="D55" s="4" t="s">
        <v>210</v>
      </c>
      <c r="E55" s="6" t="s">
        <v>223</v>
      </c>
      <c r="F55" s="6" t="s">
        <v>224</v>
      </c>
      <c r="G55" s="6" t="s">
        <v>225</v>
      </c>
      <c r="H55" s="6" t="s">
        <v>38</v>
      </c>
      <c r="I55" s="6" t="s">
        <v>226</v>
      </c>
      <c r="J55" s="6" t="s">
        <v>227</v>
      </c>
      <c r="K55" s="6"/>
      <c r="L55" s="7" t="s">
        <v>28</v>
      </c>
      <c r="M55" s="7"/>
    </row>
    <row r="56" spans="1:13" ht="15" customHeight="1">
      <c r="A56" s="4" t="s">
        <v>228</v>
      </c>
      <c r="B56" s="4">
        <v>6</v>
      </c>
      <c r="C56" s="4" t="s">
        <v>116</v>
      </c>
      <c r="D56" s="4" t="s">
        <v>210</v>
      </c>
      <c r="E56" s="6" t="s">
        <v>223</v>
      </c>
      <c r="F56" s="6" t="s">
        <v>229</v>
      </c>
      <c r="G56" s="6" t="s">
        <v>225</v>
      </c>
      <c r="H56" s="6" t="s">
        <v>38</v>
      </c>
      <c r="I56" s="6" t="s">
        <v>226</v>
      </c>
      <c r="J56" s="6" t="s">
        <v>230</v>
      </c>
      <c r="K56" s="6"/>
      <c r="L56" s="7" t="s">
        <v>28</v>
      </c>
      <c r="M56" s="7"/>
    </row>
    <row r="57" spans="1:13" ht="15" customHeight="1">
      <c r="A57" s="4" t="s">
        <v>231</v>
      </c>
      <c r="B57" s="4">
        <v>6</v>
      </c>
      <c r="C57" s="4" t="s">
        <v>116</v>
      </c>
      <c r="D57" s="4" t="s">
        <v>210</v>
      </c>
      <c r="E57" s="6" t="s">
        <v>223</v>
      </c>
      <c r="F57" s="6" t="s">
        <v>232</v>
      </c>
      <c r="G57" s="6" t="s">
        <v>24</v>
      </c>
      <c r="H57" s="6" t="s">
        <v>25</v>
      </c>
      <c r="I57" s="6" t="s">
        <v>233</v>
      </c>
      <c r="J57" s="6" t="s">
        <v>234</v>
      </c>
      <c r="K57" s="6"/>
      <c r="L57" s="7" t="s">
        <v>28</v>
      </c>
      <c r="M57" s="7"/>
    </row>
    <row r="58" spans="1:13" ht="15" customHeight="1">
      <c r="A58" s="4" t="s">
        <v>235</v>
      </c>
      <c r="B58" s="4">
        <v>6</v>
      </c>
      <c r="C58" s="4" t="s">
        <v>116</v>
      </c>
      <c r="D58" s="4" t="s">
        <v>210</v>
      </c>
      <c r="E58" s="6" t="s">
        <v>223</v>
      </c>
      <c r="F58" s="6" t="s">
        <v>236</v>
      </c>
      <c r="G58" s="6" t="s">
        <v>24</v>
      </c>
      <c r="H58" s="6" t="s">
        <v>25</v>
      </c>
      <c r="I58" s="6" t="s">
        <v>237</v>
      </c>
      <c r="J58" s="6" t="s">
        <v>238</v>
      </c>
      <c r="K58" s="6"/>
      <c r="L58" s="7" t="s">
        <v>28</v>
      </c>
      <c r="M58" s="7"/>
    </row>
    <row r="59" spans="1:13" ht="15" customHeight="1">
      <c r="A59" s="4" t="s">
        <v>239</v>
      </c>
      <c r="B59" s="4">
        <v>6</v>
      </c>
      <c r="C59" s="4" t="s">
        <v>116</v>
      </c>
      <c r="D59" s="4" t="s">
        <v>210</v>
      </c>
      <c r="E59" s="6" t="s">
        <v>223</v>
      </c>
      <c r="F59" s="6" t="s">
        <v>240</v>
      </c>
      <c r="G59" s="6" t="s">
        <v>31</v>
      </c>
      <c r="H59" s="6" t="s">
        <v>38</v>
      </c>
      <c r="I59" s="6" t="s">
        <v>241</v>
      </c>
      <c r="J59" s="6" t="s">
        <v>242</v>
      </c>
      <c r="K59" s="6"/>
      <c r="L59" s="7" t="s">
        <v>28</v>
      </c>
      <c r="M59" s="7"/>
    </row>
    <row r="60" spans="1:13" ht="15" customHeight="1">
      <c r="A60" s="4" t="s">
        <v>243</v>
      </c>
      <c r="B60" s="4">
        <v>6</v>
      </c>
      <c r="C60" s="4" t="s">
        <v>116</v>
      </c>
      <c r="D60" s="4" t="s">
        <v>210</v>
      </c>
      <c r="E60" s="6" t="s">
        <v>244</v>
      </c>
      <c r="F60" s="6" t="s">
        <v>245</v>
      </c>
      <c r="G60" s="6" t="s">
        <v>37</v>
      </c>
      <c r="H60" s="6" t="s">
        <v>38</v>
      </c>
      <c r="I60" s="6" t="s">
        <v>39</v>
      </c>
      <c r="J60" s="6" t="s">
        <v>246</v>
      </c>
      <c r="K60" s="6"/>
      <c r="L60" s="7" t="s">
        <v>28</v>
      </c>
      <c r="M60" s="7"/>
    </row>
    <row r="61" spans="1:13" ht="21.5" customHeight="1">
      <c r="A61" s="4" t="s">
        <v>247</v>
      </c>
      <c r="B61" s="4">
        <v>6</v>
      </c>
      <c r="C61" s="4" t="s">
        <v>116</v>
      </c>
      <c r="D61" s="4" t="s">
        <v>210</v>
      </c>
      <c r="E61" s="6" t="s">
        <v>244</v>
      </c>
      <c r="F61" s="6" t="s">
        <v>248</v>
      </c>
      <c r="G61" s="6" t="s">
        <v>37</v>
      </c>
      <c r="H61" s="6" t="s">
        <v>38</v>
      </c>
      <c r="I61" s="6" t="s">
        <v>39</v>
      </c>
      <c r="J61" s="6" t="s">
        <v>249</v>
      </c>
      <c r="K61" s="6" t="s">
        <v>250</v>
      </c>
      <c r="L61" s="7" t="s">
        <v>28</v>
      </c>
      <c r="M61" s="7"/>
    </row>
    <row r="62" spans="1:13" ht="15" customHeight="1">
      <c r="A62" s="4" t="s">
        <v>251</v>
      </c>
      <c r="B62" s="4">
        <v>6</v>
      </c>
      <c r="C62" s="4" t="s">
        <v>116</v>
      </c>
      <c r="D62" s="4" t="s">
        <v>252</v>
      </c>
      <c r="E62" s="6" t="s">
        <v>107</v>
      </c>
      <c r="F62" s="6" t="s">
        <v>253</v>
      </c>
      <c r="G62" s="6" t="s">
        <v>24</v>
      </c>
      <c r="H62" s="6" t="s">
        <v>38</v>
      </c>
      <c r="I62" s="6"/>
      <c r="J62" s="6" t="s">
        <v>65</v>
      </c>
      <c r="K62" s="6"/>
      <c r="L62" s="7" t="s">
        <v>28</v>
      </c>
      <c r="M62" s="7"/>
    </row>
    <row r="63" spans="1:13" ht="15" customHeight="1">
      <c r="A63" s="4" t="s">
        <v>254</v>
      </c>
      <c r="B63" s="4">
        <v>6</v>
      </c>
      <c r="C63" s="4" t="s">
        <v>116</v>
      </c>
      <c r="D63" s="4" t="s">
        <v>252</v>
      </c>
      <c r="E63" s="6" t="s">
        <v>255</v>
      </c>
      <c r="F63" s="6" t="s">
        <v>256</v>
      </c>
      <c r="G63" s="6" t="s">
        <v>111</v>
      </c>
      <c r="H63" s="6" t="s">
        <v>25</v>
      </c>
      <c r="I63" s="6"/>
      <c r="J63" s="6" t="s">
        <v>257</v>
      </c>
      <c r="K63" s="6"/>
      <c r="L63" s="7" t="s">
        <v>28</v>
      </c>
      <c r="M63" s="7"/>
    </row>
    <row r="64" spans="1:13" ht="15" customHeight="1">
      <c r="A64" s="4" t="s">
        <v>258</v>
      </c>
      <c r="B64" s="4">
        <v>6</v>
      </c>
      <c r="C64" s="4" t="s">
        <v>116</v>
      </c>
      <c r="D64" s="4" t="s">
        <v>252</v>
      </c>
      <c r="E64" s="6" t="s">
        <v>148</v>
      </c>
      <c r="F64" s="6" t="s">
        <v>152</v>
      </c>
      <c r="G64" s="6" t="s">
        <v>31</v>
      </c>
      <c r="H64" s="6" t="s">
        <v>38</v>
      </c>
      <c r="I64" s="6" t="s">
        <v>153</v>
      </c>
      <c r="J64" s="6" t="s">
        <v>259</v>
      </c>
      <c r="K64" s="6"/>
      <c r="L64" s="7" t="s">
        <v>28</v>
      </c>
      <c r="M64" s="7"/>
    </row>
    <row r="65" spans="1:13" ht="15" customHeight="1">
      <c r="A65" s="4" t="s">
        <v>260</v>
      </c>
      <c r="B65" s="4">
        <v>6</v>
      </c>
      <c r="C65" s="4" t="s">
        <v>116</v>
      </c>
      <c r="D65" s="4" t="s">
        <v>252</v>
      </c>
      <c r="E65" s="6" t="s">
        <v>261</v>
      </c>
      <c r="F65" s="6" t="s">
        <v>262</v>
      </c>
      <c r="G65" s="6" t="s">
        <v>24</v>
      </c>
      <c r="H65" s="6" t="s">
        <v>25</v>
      </c>
      <c r="I65" s="6"/>
      <c r="J65" s="6" t="s">
        <v>257</v>
      </c>
      <c r="K65" s="6"/>
      <c r="L65" s="7" t="s">
        <v>28</v>
      </c>
      <c r="M65" s="7"/>
    </row>
    <row r="66" spans="1:13" ht="15" customHeight="1">
      <c r="A66" s="4" t="s">
        <v>263</v>
      </c>
      <c r="B66" s="4">
        <v>6</v>
      </c>
      <c r="C66" s="4" t="s">
        <v>116</v>
      </c>
      <c r="D66" s="4" t="s">
        <v>252</v>
      </c>
      <c r="E66" s="6" t="s">
        <v>261</v>
      </c>
      <c r="F66" s="6" t="s">
        <v>264</v>
      </c>
      <c r="G66" s="6" t="s">
        <v>24</v>
      </c>
      <c r="H66" s="6" t="s">
        <v>25</v>
      </c>
      <c r="I66" s="6"/>
      <c r="J66" s="6" t="s">
        <v>265</v>
      </c>
      <c r="K66" s="6"/>
      <c r="L66" s="7" t="s">
        <v>28</v>
      </c>
      <c r="M66" s="7"/>
    </row>
    <row r="67" spans="1:13" ht="15" customHeight="1">
      <c r="A67" s="4" t="s">
        <v>266</v>
      </c>
      <c r="B67" s="4">
        <v>6</v>
      </c>
      <c r="C67" s="4" t="s">
        <v>116</v>
      </c>
      <c r="D67" s="4" t="s">
        <v>252</v>
      </c>
      <c r="E67" s="6" t="s">
        <v>148</v>
      </c>
      <c r="F67" s="6" t="s">
        <v>240</v>
      </c>
      <c r="G67" s="6" t="s">
        <v>31</v>
      </c>
      <c r="H67" s="6" t="s">
        <v>38</v>
      </c>
      <c r="I67" s="6" t="s">
        <v>241</v>
      </c>
      <c r="J67" s="6" t="s">
        <v>267</v>
      </c>
      <c r="K67" s="6"/>
      <c r="L67" s="7" t="s">
        <v>28</v>
      </c>
      <c r="M67" s="7"/>
    </row>
    <row r="68" spans="1:13" ht="15" customHeight="1">
      <c r="A68" s="4" t="s">
        <v>268</v>
      </c>
      <c r="B68" s="4">
        <v>7</v>
      </c>
      <c r="C68" s="4" t="s">
        <v>269</v>
      </c>
      <c r="D68" s="4" t="s">
        <v>270</v>
      </c>
      <c r="E68" s="6" t="s">
        <v>22</v>
      </c>
      <c r="F68" s="6" t="s">
        <v>271</v>
      </c>
      <c r="G68" s="6" t="s">
        <v>22</v>
      </c>
      <c r="H68" s="6" t="s">
        <v>25</v>
      </c>
      <c r="I68" s="6" t="s">
        <v>272</v>
      </c>
      <c r="J68" s="6" t="s">
        <v>273</v>
      </c>
      <c r="K68" s="6"/>
      <c r="L68" s="7" t="s">
        <v>28</v>
      </c>
      <c r="M68" s="7"/>
    </row>
    <row r="69" spans="1:13" ht="15" customHeight="1">
      <c r="A69" s="4" t="s">
        <v>274</v>
      </c>
      <c r="B69" s="4">
        <v>7</v>
      </c>
      <c r="C69" s="4" t="s">
        <v>269</v>
      </c>
      <c r="D69" s="4" t="s">
        <v>275</v>
      </c>
      <c r="E69" s="6" t="s">
        <v>22</v>
      </c>
      <c r="F69" s="6" t="s">
        <v>276</v>
      </c>
      <c r="G69" s="6" t="s">
        <v>22</v>
      </c>
      <c r="H69" s="6" t="s">
        <v>25</v>
      </c>
      <c r="I69" s="6" t="s">
        <v>277</v>
      </c>
      <c r="J69" s="6" t="s">
        <v>278</v>
      </c>
      <c r="K69" s="6"/>
      <c r="L69" s="7" t="s">
        <v>28</v>
      </c>
      <c r="M69" s="7"/>
    </row>
    <row r="70" spans="1:13" ht="21.5" customHeight="1">
      <c r="A70" s="4" t="s">
        <v>279</v>
      </c>
      <c r="B70" s="4">
        <v>7</v>
      </c>
      <c r="C70" s="4" t="s">
        <v>280</v>
      </c>
      <c r="D70" s="4" t="s">
        <v>281</v>
      </c>
      <c r="E70" s="6" t="s">
        <v>282</v>
      </c>
      <c r="F70" s="6" t="s">
        <v>283</v>
      </c>
      <c r="G70" s="6" t="s">
        <v>37</v>
      </c>
      <c r="H70" s="6" t="s">
        <v>38</v>
      </c>
      <c r="I70" s="6" t="s">
        <v>284</v>
      </c>
      <c r="J70" s="6" t="s">
        <v>285</v>
      </c>
      <c r="K70" s="6"/>
      <c r="L70" s="7" t="s">
        <v>28</v>
      </c>
      <c r="M70" s="7"/>
    </row>
    <row r="71" spans="1:13" ht="15" customHeight="1">
      <c r="A71" s="4" t="s">
        <v>286</v>
      </c>
      <c r="B71" s="4">
        <v>8</v>
      </c>
      <c r="C71" s="4" t="s">
        <v>287</v>
      </c>
      <c r="D71" s="4" t="s">
        <v>190</v>
      </c>
      <c r="E71" s="6" t="s">
        <v>22</v>
      </c>
      <c r="F71" s="6" t="s">
        <v>152</v>
      </c>
      <c r="G71" s="6" t="s">
        <v>31</v>
      </c>
      <c r="H71" s="6" t="s">
        <v>38</v>
      </c>
      <c r="I71" s="6" t="s">
        <v>153</v>
      </c>
      <c r="J71" s="6" t="s">
        <v>288</v>
      </c>
      <c r="K71" s="6"/>
      <c r="L71" s="7" t="s">
        <v>28</v>
      </c>
      <c r="M71" s="7"/>
    </row>
    <row r="72" spans="1:13" ht="21.5" customHeight="1">
      <c r="A72" s="4" t="s">
        <v>289</v>
      </c>
      <c r="B72" s="4">
        <v>8</v>
      </c>
      <c r="C72" s="4" t="s">
        <v>287</v>
      </c>
      <c r="D72" s="4" t="s">
        <v>190</v>
      </c>
      <c r="E72" s="6" t="s">
        <v>22</v>
      </c>
      <c r="F72" s="6" t="s">
        <v>290</v>
      </c>
      <c r="G72" s="6" t="s">
        <v>22</v>
      </c>
      <c r="H72" s="6" t="s">
        <v>25</v>
      </c>
      <c r="I72" s="6" t="s">
        <v>291</v>
      </c>
      <c r="J72" s="6" t="s">
        <v>292</v>
      </c>
      <c r="K72" s="6"/>
      <c r="L72" s="7" t="s">
        <v>28</v>
      </c>
      <c r="M72" s="7"/>
    </row>
    <row r="73" spans="1:13" ht="15" customHeight="1">
      <c r="A73" s="4" t="s">
        <v>293</v>
      </c>
      <c r="B73" s="4">
        <v>8</v>
      </c>
      <c r="C73" s="4" t="s">
        <v>287</v>
      </c>
      <c r="D73" s="4" t="s">
        <v>190</v>
      </c>
      <c r="E73" s="6" t="s">
        <v>294</v>
      </c>
      <c r="F73" s="6" t="s">
        <v>295</v>
      </c>
      <c r="G73" s="6" t="s">
        <v>37</v>
      </c>
      <c r="H73" s="6" t="s">
        <v>38</v>
      </c>
      <c r="I73" s="6" t="s">
        <v>39</v>
      </c>
      <c r="J73" s="6" t="s">
        <v>296</v>
      </c>
      <c r="K73" s="6"/>
      <c r="L73" s="7" t="s">
        <v>28</v>
      </c>
      <c r="M73" s="7"/>
    </row>
    <row r="74" spans="1:13" ht="15" customHeight="1">
      <c r="A74" s="4" t="s">
        <v>297</v>
      </c>
      <c r="B74" s="4">
        <v>8</v>
      </c>
      <c r="C74" s="4" t="s">
        <v>287</v>
      </c>
      <c r="D74" s="4" t="s">
        <v>190</v>
      </c>
      <c r="E74" s="6" t="s">
        <v>294</v>
      </c>
      <c r="F74" s="6" t="s">
        <v>298</v>
      </c>
      <c r="G74" s="6" t="s">
        <v>37</v>
      </c>
      <c r="H74" s="6" t="s">
        <v>38</v>
      </c>
      <c r="I74" s="6" t="s">
        <v>39</v>
      </c>
      <c r="J74" s="6" t="s">
        <v>299</v>
      </c>
      <c r="K74" s="6"/>
      <c r="L74" s="7" t="s">
        <v>28</v>
      </c>
      <c r="M74" s="7"/>
    </row>
    <row r="75" spans="1:13" ht="15" customHeight="1">
      <c r="A75" s="4" t="s">
        <v>300</v>
      </c>
      <c r="B75" s="4">
        <v>8</v>
      </c>
      <c r="C75" s="4" t="s">
        <v>287</v>
      </c>
      <c r="D75" s="4" t="s">
        <v>190</v>
      </c>
      <c r="E75" s="6" t="s">
        <v>294</v>
      </c>
      <c r="F75" s="6" t="s">
        <v>301</v>
      </c>
      <c r="G75" s="6" t="s">
        <v>37</v>
      </c>
      <c r="H75" s="6" t="s">
        <v>38</v>
      </c>
      <c r="I75" s="6" t="s">
        <v>39</v>
      </c>
      <c r="J75" s="6" t="s">
        <v>302</v>
      </c>
      <c r="K75" s="6"/>
      <c r="L75" s="7" t="s">
        <v>28</v>
      </c>
      <c r="M75" s="7"/>
    </row>
    <row r="76" spans="1:13" ht="15" customHeight="1">
      <c r="A76" s="4" t="s">
        <v>303</v>
      </c>
      <c r="B76" s="4">
        <v>8</v>
      </c>
      <c r="C76" s="4" t="s">
        <v>287</v>
      </c>
      <c r="D76" s="4" t="s">
        <v>190</v>
      </c>
      <c r="E76" s="6" t="s">
        <v>304</v>
      </c>
      <c r="F76" s="6" t="s">
        <v>305</v>
      </c>
      <c r="G76" s="6" t="s">
        <v>306</v>
      </c>
      <c r="H76" s="6" t="s">
        <v>38</v>
      </c>
      <c r="I76" s="6" t="s">
        <v>307</v>
      </c>
      <c r="J76" s="6" t="s">
        <v>308</v>
      </c>
      <c r="K76" s="6"/>
      <c r="L76" s="7" t="s">
        <v>28</v>
      </c>
      <c r="M76" s="7"/>
    </row>
    <row r="77" spans="1:13" ht="15" customHeight="1">
      <c r="A77" s="4" t="s">
        <v>309</v>
      </c>
      <c r="B77" s="4">
        <v>8</v>
      </c>
      <c r="C77" s="4" t="s">
        <v>287</v>
      </c>
      <c r="D77" s="4" t="s">
        <v>310</v>
      </c>
      <c r="E77" s="6" t="s">
        <v>96</v>
      </c>
      <c r="F77" s="6" t="s">
        <v>96</v>
      </c>
      <c r="G77" s="6" t="s">
        <v>87</v>
      </c>
      <c r="H77" s="6" t="s">
        <v>38</v>
      </c>
      <c r="I77" s="6" t="s">
        <v>311</v>
      </c>
      <c r="J77" s="6" t="s">
        <v>312</v>
      </c>
      <c r="K77" s="6"/>
      <c r="L77" s="7" t="s">
        <v>28</v>
      </c>
      <c r="M77" s="7"/>
    </row>
    <row r="78" spans="1:13" ht="15" customHeight="1">
      <c r="A78" s="4" t="s">
        <v>313</v>
      </c>
      <c r="B78" s="4">
        <v>8</v>
      </c>
      <c r="C78" s="4" t="s">
        <v>287</v>
      </c>
      <c r="D78" s="4" t="s">
        <v>310</v>
      </c>
      <c r="E78" s="6" t="s">
        <v>261</v>
      </c>
      <c r="F78" s="6" t="s">
        <v>264</v>
      </c>
      <c r="G78" s="6" t="s">
        <v>24</v>
      </c>
      <c r="H78" s="6" t="s">
        <v>25</v>
      </c>
      <c r="I78" s="6"/>
      <c r="J78" s="6" t="s">
        <v>314</v>
      </c>
      <c r="K78" s="6"/>
      <c r="L78" s="7" t="s">
        <v>28</v>
      </c>
      <c r="M78" s="7"/>
    </row>
    <row r="79" spans="1:13" ht="15" customHeight="1">
      <c r="A79" s="4" t="s">
        <v>315</v>
      </c>
      <c r="B79" s="4">
        <v>8</v>
      </c>
      <c r="C79" s="4" t="s">
        <v>287</v>
      </c>
      <c r="D79" s="4" t="s">
        <v>310</v>
      </c>
      <c r="E79" s="6" t="s">
        <v>316</v>
      </c>
      <c r="F79" s="6" t="s">
        <v>317</v>
      </c>
      <c r="G79" s="6" t="s">
        <v>24</v>
      </c>
      <c r="H79" s="6" t="s">
        <v>38</v>
      </c>
      <c r="I79" s="6"/>
      <c r="J79" s="6" t="s">
        <v>318</v>
      </c>
      <c r="K79" s="6"/>
      <c r="L79" s="7" t="s">
        <v>28</v>
      </c>
      <c r="M79" s="7"/>
    </row>
    <row r="80" spans="1:13" ht="15" customHeight="1">
      <c r="A80" s="4" t="s">
        <v>319</v>
      </c>
      <c r="B80" s="4">
        <v>8</v>
      </c>
      <c r="C80" s="4" t="s">
        <v>287</v>
      </c>
      <c r="D80" s="4" t="s">
        <v>310</v>
      </c>
      <c r="E80" s="6" t="s">
        <v>320</v>
      </c>
      <c r="F80" s="6" t="s">
        <v>79</v>
      </c>
      <c r="G80" s="6" t="s">
        <v>79</v>
      </c>
      <c r="H80" s="6" t="s">
        <v>25</v>
      </c>
      <c r="I80" s="6"/>
      <c r="J80" s="6" t="s">
        <v>321</v>
      </c>
      <c r="K80" s="6"/>
      <c r="L80" s="7" t="s">
        <v>28</v>
      </c>
      <c r="M80" s="7"/>
    </row>
    <row r="81" spans="1:13" ht="15" customHeight="1">
      <c r="A81" s="4" t="s">
        <v>322</v>
      </c>
      <c r="B81" s="4">
        <v>8</v>
      </c>
      <c r="C81" s="4" t="s">
        <v>287</v>
      </c>
      <c r="D81" s="4" t="s">
        <v>310</v>
      </c>
      <c r="E81" s="6" t="s">
        <v>320</v>
      </c>
      <c r="F81" s="6" t="s">
        <v>323</v>
      </c>
      <c r="G81" s="6" t="s">
        <v>111</v>
      </c>
      <c r="H81" s="6" t="s">
        <v>25</v>
      </c>
      <c r="I81" s="6"/>
      <c r="J81" s="6" t="s">
        <v>324</v>
      </c>
      <c r="K81" s="6"/>
      <c r="L81" s="7" t="s">
        <v>28</v>
      </c>
      <c r="M81" s="7"/>
    </row>
    <row r="82" spans="1:13" ht="15" customHeight="1">
      <c r="A82" s="4" t="s">
        <v>325</v>
      </c>
      <c r="B82" s="4">
        <v>8</v>
      </c>
      <c r="C82" s="4" t="s">
        <v>287</v>
      </c>
      <c r="D82" s="4" t="s">
        <v>310</v>
      </c>
      <c r="E82" s="6" t="s">
        <v>326</v>
      </c>
      <c r="F82" s="6" t="s">
        <v>327</v>
      </c>
      <c r="G82" s="6" t="s">
        <v>328</v>
      </c>
      <c r="H82" s="6" t="s">
        <v>25</v>
      </c>
      <c r="I82" s="6" t="s">
        <v>329</v>
      </c>
      <c r="J82" s="6" t="s">
        <v>330</v>
      </c>
      <c r="K82" s="6"/>
      <c r="L82" s="7" t="s">
        <v>28</v>
      </c>
      <c r="M82" s="7"/>
    </row>
    <row r="83" spans="1:13" ht="15" customHeight="1">
      <c r="A83" s="4" t="s">
        <v>331</v>
      </c>
      <c r="B83" s="4">
        <v>8</v>
      </c>
      <c r="C83" s="4" t="s">
        <v>287</v>
      </c>
      <c r="D83" s="4" t="s">
        <v>190</v>
      </c>
      <c r="E83" s="6" t="s">
        <v>332</v>
      </c>
      <c r="F83" s="6" t="s">
        <v>333</v>
      </c>
      <c r="G83" s="6" t="s">
        <v>334</v>
      </c>
      <c r="H83" s="6" t="s">
        <v>38</v>
      </c>
      <c r="I83" s="6" t="s">
        <v>193</v>
      </c>
      <c r="J83" s="6" t="s">
        <v>335</v>
      </c>
      <c r="K83" s="6"/>
      <c r="L83" s="7" t="s">
        <v>28</v>
      </c>
      <c r="M83" s="7"/>
    </row>
    <row r="84" spans="1:13" ht="15" customHeight="1">
      <c r="A84" s="4" t="s">
        <v>336</v>
      </c>
      <c r="B84" s="4">
        <v>8</v>
      </c>
      <c r="C84" s="4" t="s">
        <v>287</v>
      </c>
      <c r="D84" s="4" t="s">
        <v>190</v>
      </c>
      <c r="E84" s="6" t="s">
        <v>332</v>
      </c>
      <c r="F84" s="6" t="s">
        <v>337</v>
      </c>
      <c r="G84" s="6" t="s">
        <v>334</v>
      </c>
      <c r="H84" s="6" t="s">
        <v>38</v>
      </c>
      <c r="I84" s="6" t="s">
        <v>193</v>
      </c>
      <c r="J84" s="6" t="s">
        <v>338</v>
      </c>
      <c r="K84" s="6"/>
      <c r="L84" s="7" t="s">
        <v>28</v>
      </c>
      <c r="M84" s="7"/>
    </row>
    <row r="85" spans="1:13" ht="15" customHeight="1">
      <c r="A85" s="4" t="s">
        <v>339</v>
      </c>
      <c r="B85" s="4">
        <v>8</v>
      </c>
      <c r="C85" s="4" t="s">
        <v>287</v>
      </c>
      <c r="D85" s="4" t="s">
        <v>190</v>
      </c>
      <c r="E85" s="6" t="s">
        <v>332</v>
      </c>
      <c r="F85" s="6" t="s">
        <v>340</v>
      </c>
      <c r="G85" s="6" t="s">
        <v>334</v>
      </c>
      <c r="H85" s="6" t="s">
        <v>38</v>
      </c>
      <c r="I85" s="6" t="s">
        <v>193</v>
      </c>
      <c r="J85" s="6" t="s">
        <v>341</v>
      </c>
      <c r="K85" s="6"/>
      <c r="L85" s="7" t="s">
        <v>28</v>
      </c>
      <c r="M85" s="7"/>
    </row>
    <row r="86" spans="1:13" ht="15" customHeight="1">
      <c r="A86" s="4" t="s">
        <v>342</v>
      </c>
      <c r="B86" s="4">
        <v>9</v>
      </c>
      <c r="C86" s="4" t="s">
        <v>343</v>
      </c>
      <c r="D86" s="4" t="s">
        <v>344</v>
      </c>
      <c r="E86" s="6" t="s">
        <v>118</v>
      </c>
      <c r="F86" s="6" t="s">
        <v>345</v>
      </c>
      <c r="G86" s="6" t="s">
        <v>346</v>
      </c>
      <c r="H86" s="6" t="s">
        <v>38</v>
      </c>
      <c r="I86" s="6" t="s">
        <v>347</v>
      </c>
      <c r="J86" s="6" t="s">
        <v>348</v>
      </c>
      <c r="K86" s="6"/>
      <c r="L86" s="7" t="s">
        <v>28</v>
      </c>
      <c r="M86" s="7"/>
    </row>
    <row r="87" spans="1:13" ht="15" customHeight="1">
      <c r="A87" s="4" t="s">
        <v>349</v>
      </c>
      <c r="B87" s="4">
        <v>9</v>
      </c>
      <c r="C87" s="4" t="s">
        <v>343</v>
      </c>
      <c r="D87" s="4" t="s">
        <v>344</v>
      </c>
      <c r="E87" s="6" t="s">
        <v>148</v>
      </c>
      <c r="F87" s="6" t="s">
        <v>350</v>
      </c>
      <c r="G87" s="6" t="s">
        <v>37</v>
      </c>
      <c r="H87" s="6" t="s">
        <v>38</v>
      </c>
      <c r="I87" s="6" t="s">
        <v>351</v>
      </c>
      <c r="J87" s="6" t="s">
        <v>352</v>
      </c>
      <c r="K87" s="6"/>
      <c r="L87" s="7" t="s">
        <v>28</v>
      </c>
      <c r="M87" s="7"/>
    </row>
    <row r="88" spans="1:13" ht="15" customHeight="1">
      <c r="A88" s="4" t="s">
        <v>353</v>
      </c>
      <c r="B88" s="4">
        <v>9</v>
      </c>
      <c r="C88" s="4" t="s">
        <v>343</v>
      </c>
      <c r="D88" s="4" t="s">
        <v>344</v>
      </c>
      <c r="E88" s="6" t="s">
        <v>148</v>
      </c>
      <c r="F88" s="6" t="s">
        <v>354</v>
      </c>
      <c r="G88" s="6" t="s">
        <v>37</v>
      </c>
      <c r="H88" s="6" t="s">
        <v>38</v>
      </c>
      <c r="I88" s="6" t="s">
        <v>355</v>
      </c>
      <c r="J88" s="6" t="s">
        <v>356</v>
      </c>
      <c r="K88" s="6"/>
      <c r="L88" s="7" t="s">
        <v>28</v>
      </c>
      <c r="M88" s="7"/>
    </row>
    <row r="89" spans="1:13" ht="15" customHeight="1">
      <c r="A89" s="4" t="s">
        <v>357</v>
      </c>
      <c r="B89" s="4">
        <v>9</v>
      </c>
      <c r="C89" s="4" t="s">
        <v>343</v>
      </c>
      <c r="D89" s="4" t="s">
        <v>344</v>
      </c>
      <c r="E89" s="6" t="s">
        <v>148</v>
      </c>
      <c r="F89" s="6" t="s">
        <v>358</v>
      </c>
      <c r="G89" s="6" t="s">
        <v>37</v>
      </c>
      <c r="H89" s="6" t="s">
        <v>38</v>
      </c>
      <c r="I89" s="6" t="s">
        <v>359</v>
      </c>
      <c r="J89" s="6" t="s">
        <v>360</v>
      </c>
      <c r="K89" s="6"/>
      <c r="L89" s="7" t="s">
        <v>28</v>
      </c>
      <c r="M89" s="7"/>
    </row>
    <row r="90" spans="1:13" ht="15" customHeight="1">
      <c r="A90" s="4" t="s">
        <v>361</v>
      </c>
      <c r="B90" s="4">
        <v>9</v>
      </c>
      <c r="C90" s="4" t="s">
        <v>343</v>
      </c>
      <c r="D90" s="4" t="s">
        <v>344</v>
      </c>
      <c r="E90" s="6" t="s">
        <v>148</v>
      </c>
      <c r="F90" s="6" t="s">
        <v>362</v>
      </c>
      <c r="G90" s="6" t="s">
        <v>37</v>
      </c>
      <c r="H90" s="6" t="s">
        <v>38</v>
      </c>
      <c r="I90" s="6" t="s">
        <v>363</v>
      </c>
      <c r="J90" s="6" t="s">
        <v>364</v>
      </c>
      <c r="K90" s="6"/>
      <c r="L90" s="7" t="s">
        <v>28</v>
      </c>
      <c r="M90" s="7"/>
    </row>
    <row r="91" spans="1:13" ht="15" customHeight="1">
      <c r="A91" s="4" t="s">
        <v>365</v>
      </c>
      <c r="B91" s="4">
        <v>9</v>
      </c>
      <c r="C91" s="4" t="s">
        <v>343</v>
      </c>
      <c r="D91" s="4" t="s">
        <v>344</v>
      </c>
      <c r="E91" s="6" t="s">
        <v>148</v>
      </c>
      <c r="F91" s="6" t="s">
        <v>366</v>
      </c>
      <c r="G91" s="6" t="s">
        <v>37</v>
      </c>
      <c r="H91" s="6" t="s">
        <v>38</v>
      </c>
      <c r="I91" s="6" t="s">
        <v>367</v>
      </c>
      <c r="J91" s="6" t="s">
        <v>368</v>
      </c>
      <c r="K91" s="6"/>
      <c r="L91" s="7" t="s">
        <v>28</v>
      </c>
      <c r="M91" s="7"/>
    </row>
    <row r="92" spans="1:13" ht="21.5" customHeight="1">
      <c r="A92" s="4" t="s">
        <v>369</v>
      </c>
      <c r="B92" s="4">
        <v>9</v>
      </c>
      <c r="C92" s="4" t="s">
        <v>343</v>
      </c>
      <c r="D92" s="4" t="s">
        <v>344</v>
      </c>
      <c r="E92" s="6" t="s">
        <v>148</v>
      </c>
      <c r="F92" s="6" t="s">
        <v>370</v>
      </c>
      <c r="G92" s="6" t="s">
        <v>334</v>
      </c>
      <c r="H92" s="6" t="s">
        <v>38</v>
      </c>
      <c r="I92" s="6" t="s">
        <v>371</v>
      </c>
      <c r="J92" s="6" t="s">
        <v>372</v>
      </c>
      <c r="K92" s="6"/>
      <c r="L92" s="7" t="s">
        <v>28</v>
      </c>
      <c r="M92" s="7"/>
    </row>
    <row r="93" spans="1:13" ht="21.5" customHeight="1">
      <c r="A93" s="4" t="s">
        <v>373</v>
      </c>
      <c r="B93" s="4">
        <v>9</v>
      </c>
      <c r="C93" s="4" t="s">
        <v>343</v>
      </c>
      <c r="D93" s="4" t="s">
        <v>344</v>
      </c>
      <c r="E93" s="6" t="s">
        <v>148</v>
      </c>
      <c r="F93" s="6" t="s">
        <v>374</v>
      </c>
      <c r="G93" s="6" t="s">
        <v>37</v>
      </c>
      <c r="H93" s="6" t="s">
        <v>38</v>
      </c>
      <c r="I93" s="6" t="s">
        <v>375</v>
      </c>
      <c r="J93" s="6" t="s">
        <v>376</v>
      </c>
      <c r="K93" s="6"/>
      <c r="L93" s="7" t="s">
        <v>28</v>
      </c>
      <c r="M93" s="7"/>
    </row>
    <row r="94" spans="1:13" ht="15" customHeight="1">
      <c r="A94" s="4" t="s">
        <v>377</v>
      </c>
      <c r="B94" s="4">
        <v>9</v>
      </c>
      <c r="C94" s="4" t="s">
        <v>343</v>
      </c>
      <c r="D94" s="4" t="s">
        <v>378</v>
      </c>
      <c r="E94" s="6" t="s">
        <v>379</v>
      </c>
      <c r="F94" s="6" t="s">
        <v>380</v>
      </c>
      <c r="G94" s="6" t="s">
        <v>24</v>
      </c>
      <c r="H94" s="6" t="s">
        <v>38</v>
      </c>
      <c r="I94" s="6"/>
      <c r="J94" s="6" t="s">
        <v>65</v>
      </c>
      <c r="K94" s="6"/>
      <c r="L94" s="7" t="s">
        <v>28</v>
      </c>
      <c r="M94" s="7"/>
    </row>
    <row r="95" spans="1:13" ht="15" customHeight="1">
      <c r="A95" s="4" t="s">
        <v>381</v>
      </c>
      <c r="B95" s="4">
        <v>9</v>
      </c>
      <c r="C95" s="4" t="s">
        <v>343</v>
      </c>
      <c r="D95" s="4" t="s">
        <v>378</v>
      </c>
      <c r="E95" s="6" t="s">
        <v>379</v>
      </c>
      <c r="F95" s="6" t="s">
        <v>382</v>
      </c>
      <c r="G95" s="6" t="s">
        <v>24</v>
      </c>
      <c r="H95" s="6" t="s">
        <v>38</v>
      </c>
      <c r="I95" s="6"/>
      <c r="J95" s="6" t="s">
        <v>383</v>
      </c>
      <c r="K95" s="6"/>
      <c r="L95" s="7" t="s">
        <v>28</v>
      </c>
      <c r="M95" s="7"/>
    </row>
    <row r="96" spans="1:13" ht="15" customHeight="1">
      <c r="A96" s="4" t="s">
        <v>384</v>
      </c>
      <c r="B96" s="4">
        <v>9</v>
      </c>
      <c r="C96" s="4" t="s">
        <v>343</v>
      </c>
      <c r="D96" s="4" t="s">
        <v>378</v>
      </c>
      <c r="E96" s="6" t="s">
        <v>379</v>
      </c>
      <c r="F96" s="6" t="s">
        <v>79</v>
      </c>
      <c r="G96" s="6" t="s">
        <v>79</v>
      </c>
      <c r="H96" s="6" t="s">
        <v>38</v>
      </c>
      <c r="I96" s="6"/>
      <c r="J96" s="6" t="s">
        <v>321</v>
      </c>
      <c r="K96" s="6"/>
      <c r="L96" s="7" t="s">
        <v>28</v>
      </c>
      <c r="M96" s="7"/>
    </row>
    <row r="97" spans="1:13" ht="21.5" customHeight="1">
      <c r="A97" s="4" t="s">
        <v>385</v>
      </c>
      <c r="B97" s="4">
        <v>9</v>
      </c>
      <c r="C97" s="4" t="s">
        <v>343</v>
      </c>
      <c r="D97" s="4" t="s">
        <v>378</v>
      </c>
      <c r="E97" s="6" t="s">
        <v>386</v>
      </c>
      <c r="F97" s="6" t="s">
        <v>387</v>
      </c>
      <c r="G97" s="6" t="s">
        <v>216</v>
      </c>
      <c r="H97" s="6" t="s">
        <v>38</v>
      </c>
      <c r="I97" s="6" t="s">
        <v>281</v>
      </c>
      <c r="J97" s="6" t="s">
        <v>388</v>
      </c>
      <c r="K97" s="6"/>
      <c r="L97" s="7" t="s">
        <v>28</v>
      </c>
      <c r="M97" s="7"/>
    </row>
    <row r="98" spans="1:13" ht="15" customHeight="1">
      <c r="A98" s="4" t="s">
        <v>389</v>
      </c>
      <c r="B98" s="4">
        <v>10</v>
      </c>
      <c r="C98" s="4" t="s">
        <v>390</v>
      </c>
      <c r="D98" s="4" t="s">
        <v>391</v>
      </c>
      <c r="E98" s="6" t="s">
        <v>392</v>
      </c>
      <c r="F98" s="6" t="s">
        <v>393</v>
      </c>
      <c r="G98" s="6" t="s">
        <v>334</v>
      </c>
      <c r="H98" s="6" t="s">
        <v>38</v>
      </c>
      <c r="I98" s="6" t="s">
        <v>394</v>
      </c>
      <c r="J98" s="6" t="s">
        <v>395</v>
      </c>
      <c r="K98" s="6"/>
      <c r="L98" s="7" t="s">
        <v>28</v>
      </c>
      <c r="M98" s="7"/>
    </row>
    <row r="99" spans="1:13" ht="15" customHeight="1">
      <c r="A99" s="4" t="s">
        <v>396</v>
      </c>
      <c r="B99" s="4">
        <v>10</v>
      </c>
      <c r="C99" s="4" t="s">
        <v>390</v>
      </c>
      <c r="D99" s="4" t="s">
        <v>391</v>
      </c>
      <c r="E99" s="6" t="s">
        <v>392</v>
      </c>
      <c r="F99" s="6" t="s">
        <v>397</v>
      </c>
      <c r="G99" s="6" t="s">
        <v>334</v>
      </c>
      <c r="H99" s="6" t="s">
        <v>38</v>
      </c>
      <c r="I99" s="6" t="s">
        <v>394</v>
      </c>
      <c r="J99" s="6" t="s">
        <v>398</v>
      </c>
      <c r="K99" s="6"/>
      <c r="L99" s="7" t="s">
        <v>28</v>
      </c>
      <c r="M99" s="7"/>
    </row>
    <row r="100" spans="1:13" ht="15" customHeight="1">
      <c r="A100" s="4" t="s">
        <v>399</v>
      </c>
      <c r="B100" s="4">
        <v>10</v>
      </c>
      <c r="C100" s="4" t="s">
        <v>390</v>
      </c>
      <c r="D100" s="4" t="s">
        <v>391</v>
      </c>
      <c r="E100" s="6" t="s">
        <v>282</v>
      </c>
      <c r="F100" s="6" t="s">
        <v>400</v>
      </c>
      <c r="G100" s="6" t="s">
        <v>334</v>
      </c>
      <c r="H100" s="6" t="s">
        <v>38</v>
      </c>
      <c r="I100" s="6" t="s">
        <v>401</v>
      </c>
      <c r="J100" s="6" t="s">
        <v>402</v>
      </c>
      <c r="K100" s="6"/>
      <c r="L100" s="7" t="s">
        <v>28</v>
      </c>
      <c r="M100" s="7"/>
    </row>
    <row r="101" spans="1:13" ht="15" customHeight="1">
      <c r="A101" s="4" t="s">
        <v>403</v>
      </c>
      <c r="B101" s="4">
        <v>10</v>
      </c>
      <c r="C101" s="4" t="s">
        <v>390</v>
      </c>
      <c r="D101" s="4" t="s">
        <v>391</v>
      </c>
      <c r="E101" s="6" t="s">
        <v>282</v>
      </c>
      <c r="F101" s="6" t="s">
        <v>404</v>
      </c>
      <c r="G101" s="6" t="s">
        <v>334</v>
      </c>
      <c r="H101" s="6" t="s">
        <v>38</v>
      </c>
      <c r="I101" s="6" t="s">
        <v>401</v>
      </c>
      <c r="J101" s="6" t="s">
        <v>405</v>
      </c>
      <c r="K101" s="6"/>
      <c r="L101" s="7" t="s">
        <v>28</v>
      </c>
      <c r="M101" s="7"/>
    </row>
    <row r="102" spans="1:13" ht="15" customHeight="1">
      <c r="A102" s="4" t="s">
        <v>406</v>
      </c>
      <c r="B102" s="4">
        <v>10</v>
      </c>
      <c r="C102" s="4" t="s">
        <v>390</v>
      </c>
      <c r="D102" s="4" t="s">
        <v>391</v>
      </c>
      <c r="E102" s="6" t="s">
        <v>294</v>
      </c>
      <c r="F102" s="6" t="s">
        <v>407</v>
      </c>
      <c r="G102" s="6" t="s">
        <v>334</v>
      </c>
      <c r="H102" s="6" t="s">
        <v>38</v>
      </c>
      <c r="I102" s="6" t="s">
        <v>193</v>
      </c>
      <c r="J102" s="6" t="s">
        <v>408</v>
      </c>
      <c r="K102" s="6"/>
      <c r="L102" s="7" t="s">
        <v>28</v>
      </c>
      <c r="M102" s="7"/>
    </row>
    <row r="103" spans="1:13" ht="15" customHeight="1">
      <c r="A103" s="4" t="s">
        <v>409</v>
      </c>
      <c r="B103" s="4">
        <v>10</v>
      </c>
      <c r="C103" s="4" t="s">
        <v>390</v>
      </c>
      <c r="D103" s="4" t="s">
        <v>391</v>
      </c>
      <c r="E103" s="6" t="s">
        <v>294</v>
      </c>
      <c r="F103" s="6" t="s">
        <v>410</v>
      </c>
      <c r="G103" s="6" t="s">
        <v>334</v>
      </c>
      <c r="H103" s="6" t="s">
        <v>38</v>
      </c>
      <c r="I103" s="6" t="s">
        <v>193</v>
      </c>
      <c r="J103" s="6" t="s">
        <v>411</v>
      </c>
      <c r="K103" s="6"/>
      <c r="L103" s="7" t="s">
        <v>28</v>
      </c>
      <c r="M103" s="7"/>
    </row>
    <row r="104" spans="1:13" ht="21.5" customHeight="1">
      <c r="A104" s="4" t="s">
        <v>412</v>
      </c>
      <c r="B104" s="4">
        <v>10</v>
      </c>
      <c r="C104" s="4" t="s">
        <v>390</v>
      </c>
      <c r="D104" s="4" t="s">
        <v>391</v>
      </c>
      <c r="E104" s="6" t="s">
        <v>30</v>
      </c>
      <c r="F104" s="6" t="s">
        <v>413</v>
      </c>
      <c r="G104" s="6" t="s">
        <v>37</v>
      </c>
      <c r="H104" s="6" t="s">
        <v>38</v>
      </c>
      <c r="I104" s="6" t="s">
        <v>414</v>
      </c>
      <c r="J104" s="6" t="s">
        <v>415</v>
      </c>
      <c r="K104" s="6"/>
      <c r="L104" s="7" t="s">
        <v>28</v>
      </c>
      <c r="M104" s="7"/>
    </row>
    <row r="105" spans="1:13" ht="21.5" customHeight="1">
      <c r="A105" s="4" t="s">
        <v>416</v>
      </c>
      <c r="B105" s="4">
        <v>10</v>
      </c>
      <c r="C105" s="4" t="s">
        <v>390</v>
      </c>
      <c r="D105" s="4" t="s">
        <v>391</v>
      </c>
      <c r="E105" s="6" t="s">
        <v>30</v>
      </c>
      <c r="F105" s="6" t="s">
        <v>417</v>
      </c>
      <c r="G105" s="6" t="s">
        <v>37</v>
      </c>
      <c r="H105" s="6" t="s">
        <v>38</v>
      </c>
      <c r="I105" s="6" t="s">
        <v>418</v>
      </c>
      <c r="J105" s="6" t="s">
        <v>419</v>
      </c>
      <c r="K105" s="6"/>
      <c r="L105" s="7" t="s">
        <v>28</v>
      </c>
      <c r="M105" s="7"/>
    </row>
    <row r="106" spans="1:13" ht="21.5" customHeight="1">
      <c r="A106" s="4" t="s">
        <v>420</v>
      </c>
      <c r="B106" s="4">
        <v>10</v>
      </c>
      <c r="C106" s="4" t="s">
        <v>390</v>
      </c>
      <c r="D106" s="4" t="s">
        <v>421</v>
      </c>
      <c r="E106" s="6" t="s">
        <v>422</v>
      </c>
      <c r="F106" s="6" t="s">
        <v>423</v>
      </c>
      <c r="G106" s="6" t="s">
        <v>37</v>
      </c>
      <c r="H106" s="6" t="s">
        <v>38</v>
      </c>
      <c r="I106" s="6" t="s">
        <v>424</v>
      </c>
      <c r="J106" s="6" t="s">
        <v>425</v>
      </c>
      <c r="K106" s="6"/>
      <c r="L106" s="7" t="s">
        <v>28</v>
      </c>
      <c r="M106" s="7"/>
    </row>
    <row r="107" spans="1:13" ht="21.5" customHeight="1">
      <c r="A107" s="4" t="s">
        <v>426</v>
      </c>
      <c r="B107" s="4">
        <v>11</v>
      </c>
      <c r="C107" s="4" t="s">
        <v>287</v>
      </c>
      <c r="D107" s="4" t="s">
        <v>427</v>
      </c>
      <c r="E107" s="6" t="s">
        <v>428</v>
      </c>
      <c r="F107" s="6" t="s">
        <v>429</v>
      </c>
      <c r="G107" s="6" t="s">
        <v>334</v>
      </c>
      <c r="H107" s="6" t="s">
        <v>38</v>
      </c>
      <c r="I107" s="6" t="s">
        <v>226</v>
      </c>
      <c r="J107" s="6" t="s">
        <v>430</v>
      </c>
      <c r="K107" s="6"/>
      <c r="L107" s="7" t="s">
        <v>28</v>
      </c>
      <c r="M107" s="7"/>
    </row>
    <row r="108" spans="1:13" ht="15" customHeight="1">
      <c r="A108" s="4" t="s">
        <v>431</v>
      </c>
      <c r="B108" s="4">
        <v>11</v>
      </c>
      <c r="C108" s="4" t="s">
        <v>287</v>
      </c>
      <c r="D108" s="4" t="s">
        <v>427</v>
      </c>
      <c r="E108" s="6" t="s">
        <v>432</v>
      </c>
      <c r="F108" s="6" t="s">
        <v>433</v>
      </c>
      <c r="G108" s="6" t="s">
        <v>434</v>
      </c>
      <c r="H108" s="6" t="s">
        <v>38</v>
      </c>
      <c r="I108" s="6" t="s">
        <v>435</v>
      </c>
      <c r="J108" s="6" t="s">
        <v>436</v>
      </c>
      <c r="K108" s="6"/>
      <c r="L108" s="7" t="s">
        <v>28</v>
      </c>
      <c r="M108" s="7"/>
    </row>
    <row r="109" spans="1:13" ht="15" customHeight="1">
      <c r="A109" s="4" t="s">
        <v>437</v>
      </c>
      <c r="B109" s="4">
        <v>11</v>
      </c>
      <c r="C109" s="4" t="s">
        <v>287</v>
      </c>
      <c r="D109" s="4" t="s">
        <v>438</v>
      </c>
      <c r="E109" s="6" t="s">
        <v>439</v>
      </c>
      <c r="F109" s="6" t="s">
        <v>440</v>
      </c>
      <c r="G109" s="6" t="s">
        <v>30</v>
      </c>
      <c r="H109" s="6" t="s">
        <v>38</v>
      </c>
      <c r="I109" s="6" t="s">
        <v>441</v>
      </c>
      <c r="J109" s="6" t="s">
        <v>442</v>
      </c>
      <c r="K109" s="6"/>
      <c r="L109" s="7" t="s">
        <v>28</v>
      </c>
      <c r="M109" s="7"/>
    </row>
    <row r="110" spans="1:13" ht="15" customHeight="1">
      <c r="A110" s="4" t="s">
        <v>443</v>
      </c>
      <c r="B110" s="4">
        <v>11</v>
      </c>
      <c r="C110" s="4" t="s">
        <v>287</v>
      </c>
      <c r="D110" s="4" t="s">
        <v>438</v>
      </c>
      <c r="E110" s="6" t="s">
        <v>444</v>
      </c>
      <c r="F110" s="6" t="s">
        <v>445</v>
      </c>
      <c r="G110" s="6" t="s">
        <v>216</v>
      </c>
      <c r="H110" s="6" t="s">
        <v>446</v>
      </c>
      <c r="I110" s="6" t="s">
        <v>447</v>
      </c>
      <c r="J110" s="6" t="s">
        <v>448</v>
      </c>
      <c r="K110" s="6"/>
      <c r="L110" s="7" t="s">
        <v>28</v>
      </c>
      <c r="M110" s="7"/>
    </row>
    <row r="111" spans="1:13" ht="15" customHeight="1">
      <c r="A111" s="4" t="s">
        <v>449</v>
      </c>
      <c r="B111" s="4">
        <v>11</v>
      </c>
      <c r="C111" s="4" t="s">
        <v>287</v>
      </c>
      <c r="D111" s="4" t="s">
        <v>438</v>
      </c>
      <c r="E111" s="6" t="s">
        <v>444</v>
      </c>
      <c r="F111" s="6" t="s">
        <v>450</v>
      </c>
      <c r="G111" s="6" t="s">
        <v>111</v>
      </c>
      <c r="H111" s="6" t="s">
        <v>25</v>
      </c>
      <c r="I111" s="6"/>
      <c r="J111" s="6" t="s">
        <v>451</v>
      </c>
      <c r="K111" s="6"/>
      <c r="L111" s="7" t="s">
        <v>28</v>
      </c>
      <c r="M111" s="7"/>
    </row>
    <row r="112" spans="1:13" ht="15" customHeight="1">
      <c r="A112" s="4" t="s">
        <v>452</v>
      </c>
      <c r="B112" s="4">
        <v>11</v>
      </c>
      <c r="C112" s="4" t="s">
        <v>287</v>
      </c>
      <c r="D112" s="4" t="s">
        <v>453</v>
      </c>
      <c r="E112" s="6" t="s">
        <v>382</v>
      </c>
      <c r="F112" s="6" t="s">
        <v>454</v>
      </c>
      <c r="G112" s="6" t="s">
        <v>24</v>
      </c>
      <c r="H112" s="6" t="s">
        <v>38</v>
      </c>
      <c r="I112" s="6"/>
      <c r="J112" s="6" t="s">
        <v>455</v>
      </c>
      <c r="K112" s="6"/>
      <c r="L112" s="7" t="s">
        <v>28</v>
      </c>
      <c r="M112" s="7"/>
    </row>
    <row r="113" spans="1:13" ht="15" customHeight="1">
      <c r="A113" s="4" t="s">
        <v>456</v>
      </c>
      <c r="B113" s="4">
        <v>11</v>
      </c>
      <c r="C113" s="4" t="s">
        <v>287</v>
      </c>
      <c r="D113" s="4" t="s">
        <v>453</v>
      </c>
      <c r="E113" s="6" t="s">
        <v>382</v>
      </c>
      <c r="F113" s="6" t="s">
        <v>457</v>
      </c>
      <c r="G113" s="6" t="s">
        <v>31</v>
      </c>
      <c r="H113" s="6" t="s">
        <v>38</v>
      </c>
      <c r="I113" s="6" t="s">
        <v>458</v>
      </c>
      <c r="J113" s="6" t="s">
        <v>459</v>
      </c>
      <c r="K113" s="6"/>
      <c r="L113" s="7" t="s">
        <v>28</v>
      </c>
      <c r="M113" s="7"/>
    </row>
    <row r="114" spans="1:13" ht="15" customHeight="1">
      <c r="A114" s="4" t="s">
        <v>460</v>
      </c>
      <c r="B114" s="4">
        <v>12</v>
      </c>
      <c r="C114" s="4" t="s">
        <v>461</v>
      </c>
      <c r="D114" s="4" t="s">
        <v>462</v>
      </c>
      <c r="E114" s="6" t="s">
        <v>107</v>
      </c>
      <c r="F114" s="6" t="s">
        <v>463</v>
      </c>
      <c r="G114" s="6" t="s">
        <v>37</v>
      </c>
      <c r="H114" s="6" t="s">
        <v>38</v>
      </c>
      <c r="I114" s="6" t="s">
        <v>464</v>
      </c>
      <c r="J114" s="6" t="s">
        <v>465</v>
      </c>
      <c r="K114" s="6"/>
      <c r="L114" s="7" t="s">
        <v>28</v>
      </c>
      <c r="M114" s="7"/>
    </row>
    <row r="115" spans="1:13" ht="15" customHeight="1">
      <c r="A115" s="4" t="s">
        <v>466</v>
      </c>
      <c r="B115" s="4">
        <v>12</v>
      </c>
      <c r="C115" s="4" t="s">
        <v>461</v>
      </c>
      <c r="D115" s="4" t="s">
        <v>462</v>
      </c>
      <c r="E115" s="6" t="s">
        <v>107</v>
      </c>
      <c r="F115" s="6" t="s">
        <v>467</v>
      </c>
      <c r="G115" s="6" t="s">
        <v>24</v>
      </c>
      <c r="H115" s="6" t="s">
        <v>38</v>
      </c>
      <c r="I115" s="6" t="s">
        <v>468</v>
      </c>
      <c r="J115" s="6" t="s">
        <v>469</v>
      </c>
      <c r="K115" s="6"/>
      <c r="L115" s="7" t="s">
        <v>28</v>
      </c>
      <c r="M115" s="7"/>
    </row>
    <row r="116" spans="1:13" ht="15" customHeight="1">
      <c r="A116" s="4" t="s">
        <v>470</v>
      </c>
      <c r="B116" s="4">
        <v>12</v>
      </c>
      <c r="C116" s="4" t="s">
        <v>461</v>
      </c>
      <c r="D116" s="4" t="s">
        <v>462</v>
      </c>
      <c r="E116" s="6" t="s">
        <v>107</v>
      </c>
      <c r="F116" s="6" t="s">
        <v>79</v>
      </c>
      <c r="G116" s="6" t="s">
        <v>79</v>
      </c>
      <c r="H116" s="6" t="s">
        <v>38</v>
      </c>
      <c r="I116" s="6"/>
      <c r="J116" s="6" t="s">
        <v>471</v>
      </c>
      <c r="K116" s="6"/>
      <c r="L116" s="7" t="s">
        <v>28</v>
      </c>
      <c r="M116" s="7"/>
    </row>
    <row r="117" spans="1:13" ht="15" customHeight="1">
      <c r="A117" s="4" t="s">
        <v>472</v>
      </c>
      <c r="B117" s="4">
        <v>12</v>
      </c>
      <c r="C117" s="4" t="s">
        <v>461</v>
      </c>
      <c r="D117" s="4" t="s">
        <v>462</v>
      </c>
      <c r="E117" s="6" t="s">
        <v>160</v>
      </c>
      <c r="F117" s="6" t="s">
        <v>141</v>
      </c>
      <c r="G117" s="6" t="s">
        <v>473</v>
      </c>
      <c r="H117" s="6" t="s">
        <v>38</v>
      </c>
      <c r="I117" s="6"/>
      <c r="J117" s="6" t="s">
        <v>474</v>
      </c>
      <c r="K117" s="6"/>
      <c r="L117" s="7" t="s">
        <v>28</v>
      </c>
      <c r="M117" s="7"/>
    </row>
    <row r="118" spans="1:13" ht="15" customHeight="1">
      <c r="A118" s="4" t="s">
        <v>475</v>
      </c>
      <c r="B118" s="4">
        <v>12</v>
      </c>
      <c r="C118" s="4" t="s">
        <v>461</v>
      </c>
      <c r="D118" s="4" t="s">
        <v>462</v>
      </c>
      <c r="E118" s="6" t="s">
        <v>96</v>
      </c>
      <c r="F118" s="6" t="s">
        <v>476</v>
      </c>
      <c r="G118" s="6" t="s">
        <v>30</v>
      </c>
      <c r="H118" s="6" t="s">
        <v>38</v>
      </c>
      <c r="I118" s="6" t="s">
        <v>477</v>
      </c>
      <c r="J118" s="6" t="s">
        <v>478</v>
      </c>
      <c r="K118" s="6"/>
      <c r="L118" s="7" t="s">
        <v>28</v>
      </c>
      <c r="M118" s="7"/>
    </row>
    <row r="119" spans="1:13" ht="21.5" customHeight="1">
      <c r="A119" s="4" t="s">
        <v>479</v>
      </c>
      <c r="B119" s="4">
        <v>12</v>
      </c>
      <c r="C119" s="4" t="s">
        <v>461</v>
      </c>
      <c r="D119" s="4" t="s">
        <v>462</v>
      </c>
      <c r="E119" s="6" t="s">
        <v>96</v>
      </c>
      <c r="F119" s="6" t="s">
        <v>480</v>
      </c>
      <c r="G119" s="6" t="s">
        <v>334</v>
      </c>
      <c r="H119" s="6" t="s">
        <v>38</v>
      </c>
      <c r="I119" s="6" t="s">
        <v>481</v>
      </c>
      <c r="J119" s="6" t="s">
        <v>482</v>
      </c>
      <c r="K119" s="6"/>
      <c r="L119" s="7" t="s">
        <v>28</v>
      </c>
      <c r="M119" s="7"/>
    </row>
    <row r="120" spans="1:13" ht="15" customHeight="1">
      <c r="A120" s="4" t="s">
        <v>483</v>
      </c>
      <c r="B120" s="4">
        <v>12</v>
      </c>
      <c r="C120" s="4" t="s">
        <v>461</v>
      </c>
      <c r="D120" s="4" t="s">
        <v>462</v>
      </c>
      <c r="E120" s="6" t="s">
        <v>96</v>
      </c>
      <c r="F120" s="6" t="s">
        <v>484</v>
      </c>
      <c r="G120" s="6" t="s">
        <v>334</v>
      </c>
      <c r="H120" s="6" t="s">
        <v>38</v>
      </c>
      <c r="I120" s="6" t="s">
        <v>193</v>
      </c>
      <c r="J120" s="6" t="s">
        <v>485</v>
      </c>
      <c r="K120" s="6"/>
      <c r="L120" s="7" t="s">
        <v>28</v>
      </c>
      <c r="M120" s="7"/>
    </row>
    <row r="121" spans="1:13" ht="15" customHeight="1">
      <c r="A121" s="4" t="s">
        <v>486</v>
      </c>
      <c r="B121" s="4">
        <v>12</v>
      </c>
      <c r="C121" s="4" t="s">
        <v>461</v>
      </c>
      <c r="D121" s="4" t="s">
        <v>487</v>
      </c>
      <c r="E121" s="6" t="s">
        <v>379</v>
      </c>
      <c r="F121" s="6" t="s">
        <v>488</v>
      </c>
      <c r="G121" s="6" t="s">
        <v>79</v>
      </c>
      <c r="H121" s="6" t="s">
        <v>38</v>
      </c>
      <c r="I121" s="6"/>
      <c r="J121" s="6" t="s">
        <v>489</v>
      </c>
      <c r="K121" s="6"/>
      <c r="L121" s="7" t="s">
        <v>28</v>
      </c>
      <c r="M121" s="7"/>
    </row>
    <row r="122" spans="1:13" ht="15" customHeight="1">
      <c r="A122" s="4" t="s">
        <v>490</v>
      </c>
      <c r="B122" s="4">
        <v>12</v>
      </c>
      <c r="C122" s="4" t="s">
        <v>461</v>
      </c>
      <c r="D122" s="4" t="s">
        <v>487</v>
      </c>
      <c r="E122" s="6" t="s">
        <v>379</v>
      </c>
      <c r="F122" s="6" t="s">
        <v>382</v>
      </c>
      <c r="G122" s="6" t="s">
        <v>24</v>
      </c>
      <c r="H122" s="6" t="s">
        <v>38</v>
      </c>
      <c r="I122" s="6"/>
      <c r="J122" s="6" t="s">
        <v>491</v>
      </c>
      <c r="K122" s="6"/>
      <c r="L122" s="7" t="s">
        <v>28</v>
      </c>
      <c r="M122" s="7"/>
    </row>
    <row r="123" spans="1:13" ht="15" customHeight="1">
      <c r="A123" s="4" t="s">
        <v>492</v>
      </c>
      <c r="B123" s="4">
        <v>12</v>
      </c>
      <c r="C123" s="4" t="s">
        <v>461</v>
      </c>
      <c r="D123" s="4" t="s">
        <v>487</v>
      </c>
      <c r="E123" s="6" t="s">
        <v>379</v>
      </c>
      <c r="F123" s="6" t="s">
        <v>493</v>
      </c>
      <c r="G123" s="6" t="s">
        <v>111</v>
      </c>
      <c r="H123" s="6" t="s">
        <v>25</v>
      </c>
      <c r="I123" s="6"/>
      <c r="J123" s="6" t="s">
        <v>494</v>
      </c>
      <c r="K123" s="6"/>
      <c r="L123" s="7" t="s">
        <v>28</v>
      </c>
      <c r="M123" s="7"/>
    </row>
    <row r="124" spans="1:13" ht="15" customHeight="1">
      <c r="A124" s="4" t="s">
        <v>495</v>
      </c>
      <c r="B124" s="4">
        <v>12</v>
      </c>
      <c r="C124" s="4" t="s">
        <v>461</v>
      </c>
      <c r="D124" s="4" t="s">
        <v>487</v>
      </c>
      <c r="E124" s="6" t="s">
        <v>379</v>
      </c>
      <c r="F124" s="6" t="s">
        <v>496</v>
      </c>
      <c r="G124" s="6" t="s">
        <v>225</v>
      </c>
      <c r="H124" s="6" t="s">
        <v>25</v>
      </c>
      <c r="I124" s="6" t="s">
        <v>226</v>
      </c>
      <c r="J124" s="6" t="s">
        <v>497</v>
      </c>
      <c r="K124" s="6"/>
      <c r="L124" s="7" t="s">
        <v>28</v>
      </c>
      <c r="M124" s="7"/>
    </row>
    <row r="125" spans="1:13" ht="15" customHeight="1">
      <c r="A125" s="4" t="s">
        <v>498</v>
      </c>
      <c r="B125" s="4">
        <v>12</v>
      </c>
      <c r="C125" s="4" t="s">
        <v>461</v>
      </c>
      <c r="D125" s="4" t="s">
        <v>487</v>
      </c>
      <c r="E125" s="6" t="s">
        <v>499</v>
      </c>
      <c r="F125" s="6" t="s">
        <v>500</v>
      </c>
      <c r="G125" s="6" t="s">
        <v>37</v>
      </c>
      <c r="H125" s="6" t="s">
        <v>38</v>
      </c>
      <c r="I125" s="6" t="s">
        <v>501</v>
      </c>
      <c r="J125" s="6" t="s">
        <v>502</v>
      </c>
      <c r="K125" s="6"/>
      <c r="L125" s="7" t="s">
        <v>28</v>
      </c>
      <c r="M125" s="7"/>
    </row>
    <row r="126" spans="1:13" ht="21.5" customHeight="1">
      <c r="A126" s="4" t="s">
        <v>503</v>
      </c>
      <c r="B126" s="4">
        <v>12</v>
      </c>
      <c r="C126" s="4" t="s">
        <v>461</v>
      </c>
      <c r="D126" s="4" t="s">
        <v>487</v>
      </c>
      <c r="E126" s="6" t="s">
        <v>499</v>
      </c>
      <c r="F126" s="6" t="s">
        <v>504</v>
      </c>
      <c r="G126" s="6" t="s">
        <v>334</v>
      </c>
      <c r="H126" s="6" t="s">
        <v>38</v>
      </c>
      <c r="I126" s="6" t="s">
        <v>226</v>
      </c>
      <c r="J126" s="6" t="s">
        <v>505</v>
      </c>
      <c r="K126" s="6"/>
      <c r="L126" s="7" t="s">
        <v>28</v>
      </c>
      <c r="M126" s="7"/>
    </row>
    <row r="127" spans="1:13" ht="15" customHeight="1">
      <c r="A127" s="4" t="s">
        <v>506</v>
      </c>
      <c r="B127" s="4">
        <v>13</v>
      </c>
      <c r="C127" s="4" t="s">
        <v>507</v>
      </c>
      <c r="D127" s="4" t="s">
        <v>508</v>
      </c>
      <c r="E127" s="6" t="s">
        <v>22</v>
      </c>
      <c r="F127" s="6" t="s">
        <v>509</v>
      </c>
      <c r="G127" s="6" t="s">
        <v>216</v>
      </c>
      <c r="H127" s="6" t="s">
        <v>25</v>
      </c>
      <c r="I127" s="6" t="s">
        <v>510</v>
      </c>
      <c r="J127" s="6" t="s">
        <v>511</v>
      </c>
      <c r="K127" s="6"/>
      <c r="L127" s="7" t="s">
        <v>28</v>
      </c>
      <c r="M127" s="7"/>
    </row>
    <row r="128" spans="1:13" ht="15" customHeight="1">
      <c r="A128" s="4" t="s">
        <v>512</v>
      </c>
      <c r="B128" s="4">
        <v>13</v>
      </c>
      <c r="C128" s="4" t="s">
        <v>507</v>
      </c>
      <c r="D128" s="4" t="s">
        <v>508</v>
      </c>
      <c r="E128" s="6" t="s">
        <v>513</v>
      </c>
      <c r="F128" s="6" t="s">
        <v>514</v>
      </c>
      <c r="G128" s="6" t="s">
        <v>334</v>
      </c>
      <c r="H128" s="6" t="s">
        <v>38</v>
      </c>
      <c r="I128" s="6" t="s">
        <v>515</v>
      </c>
      <c r="J128" s="6" t="s">
        <v>516</v>
      </c>
      <c r="K128" s="6"/>
      <c r="L128" s="7" t="s">
        <v>28</v>
      </c>
      <c r="M128" s="7"/>
    </row>
    <row r="129" spans="1:13" ht="15" customHeight="1">
      <c r="A129" s="4" t="s">
        <v>517</v>
      </c>
      <c r="B129" s="4">
        <v>13</v>
      </c>
      <c r="C129" s="4" t="s">
        <v>507</v>
      </c>
      <c r="D129" s="4" t="s">
        <v>508</v>
      </c>
      <c r="E129" s="6" t="s">
        <v>439</v>
      </c>
      <c r="F129" s="6" t="s">
        <v>518</v>
      </c>
      <c r="G129" s="6" t="s">
        <v>519</v>
      </c>
      <c r="H129" s="6" t="s">
        <v>25</v>
      </c>
      <c r="I129" s="6"/>
      <c r="J129" s="6" t="s">
        <v>520</v>
      </c>
      <c r="K129" s="6"/>
      <c r="L129" s="7" t="s">
        <v>28</v>
      </c>
      <c r="M129" s="7"/>
    </row>
    <row r="130" spans="1:13" ht="15" customHeight="1">
      <c r="A130" s="4" t="s">
        <v>521</v>
      </c>
      <c r="B130" s="4">
        <v>13</v>
      </c>
      <c r="C130" s="4" t="s">
        <v>507</v>
      </c>
      <c r="D130" s="4" t="s">
        <v>508</v>
      </c>
      <c r="E130" s="6" t="s">
        <v>439</v>
      </c>
      <c r="F130" s="6" t="s">
        <v>522</v>
      </c>
      <c r="G130" s="6" t="s">
        <v>519</v>
      </c>
      <c r="H130" s="6" t="s">
        <v>25</v>
      </c>
      <c r="I130" s="6"/>
      <c r="J130" s="6" t="s">
        <v>523</v>
      </c>
      <c r="K130" s="6"/>
      <c r="L130" s="7" t="s">
        <v>28</v>
      </c>
      <c r="M130" s="7"/>
    </row>
    <row r="131" spans="1:13" ht="15" customHeight="1">
      <c r="A131" s="4" t="s">
        <v>524</v>
      </c>
      <c r="B131" s="4">
        <v>13</v>
      </c>
      <c r="C131" s="4" t="s">
        <v>507</v>
      </c>
      <c r="D131" s="4" t="s">
        <v>508</v>
      </c>
      <c r="E131" s="6" t="s">
        <v>444</v>
      </c>
      <c r="F131" s="6" t="s">
        <v>525</v>
      </c>
      <c r="G131" s="6" t="s">
        <v>216</v>
      </c>
      <c r="H131" s="6" t="s">
        <v>446</v>
      </c>
      <c r="I131" s="6" t="s">
        <v>526</v>
      </c>
      <c r="J131" s="6" t="s">
        <v>527</v>
      </c>
      <c r="K131" s="6"/>
      <c r="L131" s="7" t="s">
        <v>28</v>
      </c>
      <c r="M131" s="7"/>
    </row>
    <row r="132" spans="1:13" ht="15" customHeight="1">
      <c r="A132" s="4" t="s">
        <v>528</v>
      </c>
      <c r="B132" s="4">
        <v>13</v>
      </c>
      <c r="C132" s="4" t="s">
        <v>507</v>
      </c>
      <c r="D132" s="4" t="s">
        <v>508</v>
      </c>
      <c r="E132" s="6" t="s">
        <v>444</v>
      </c>
      <c r="F132" s="6" t="s">
        <v>323</v>
      </c>
      <c r="G132" s="6" t="s">
        <v>111</v>
      </c>
      <c r="H132" s="6" t="s">
        <v>25</v>
      </c>
      <c r="I132" s="6"/>
      <c r="J132" s="6" t="s">
        <v>529</v>
      </c>
      <c r="K132" s="6"/>
      <c r="L132" s="7" t="s">
        <v>28</v>
      </c>
      <c r="M132" s="7"/>
    </row>
    <row r="133" spans="1:13" ht="15" customHeight="1">
      <c r="A133" s="4" t="s">
        <v>530</v>
      </c>
      <c r="B133" s="4">
        <v>14</v>
      </c>
      <c r="C133" s="4" t="s">
        <v>507</v>
      </c>
      <c r="D133" s="4" t="s">
        <v>531</v>
      </c>
      <c r="E133" s="6" t="s">
        <v>392</v>
      </c>
      <c r="F133" s="6" t="s">
        <v>532</v>
      </c>
      <c r="G133" s="6" t="s">
        <v>334</v>
      </c>
      <c r="H133" s="6" t="s">
        <v>38</v>
      </c>
      <c r="I133" s="6" t="s">
        <v>143</v>
      </c>
      <c r="J133" s="6" t="s">
        <v>533</v>
      </c>
      <c r="K133" s="6"/>
      <c r="L133" s="7" t="s">
        <v>28</v>
      </c>
      <c r="M133" s="7"/>
    </row>
    <row r="134" spans="1:13" ht="21.5" customHeight="1">
      <c r="A134" s="4" t="s">
        <v>534</v>
      </c>
      <c r="B134" s="4">
        <v>14</v>
      </c>
      <c r="C134" s="4" t="s">
        <v>507</v>
      </c>
      <c r="D134" s="4" t="s">
        <v>531</v>
      </c>
      <c r="E134" s="6" t="s">
        <v>535</v>
      </c>
      <c r="F134" s="6" t="s">
        <v>536</v>
      </c>
      <c r="G134" s="6" t="s">
        <v>37</v>
      </c>
      <c r="H134" s="6" t="s">
        <v>38</v>
      </c>
      <c r="I134" s="6" t="s">
        <v>537</v>
      </c>
      <c r="J134" s="6" t="s">
        <v>538</v>
      </c>
      <c r="K134" s="6" t="s">
        <v>539</v>
      </c>
      <c r="L134" s="7" t="s">
        <v>28</v>
      </c>
      <c r="M134" s="7"/>
    </row>
    <row r="135" spans="1:13" ht="15" customHeight="1">
      <c r="A135" s="4" t="s">
        <v>540</v>
      </c>
      <c r="B135" s="4">
        <v>14</v>
      </c>
      <c r="C135" s="4" t="s">
        <v>507</v>
      </c>
      <c r="D135" s="4" t="s">
        <v>531</v>
      </c>
      <c r="E135" s="6" t="s">
        <v>191</v>
      </c>
      <c r="F135" s="6" t="s">
        <v>541</v>
      </c>
      <c r="G135" s="6" t="s">
        <v>124</v>
      </c>
      <c r="H135" s="6" t="s">
        <v>38</v>
      </c>
      <c r="I135" s="6" t="s">
        <v>542</v>
      </c>
      <c r="J135" s="6" t="s">
        <v>543</v>
      </c>
      <c r="K135" s="6"/>
      <c r="L135" s="7" t="s">
        <v>28</v>
      </c>
      <c r="M135" s="7"/>
    </row>
    <row r="136" spans="1:13" ht="15" customHeight="1">
      <c r="A136" s="4" t="s">
        <v>544</v>
      </c>
      <c r="B136" s="4">
        <v>14</v>
      </c>
      <c r="C136" s="4" t="s">
        <v>507</v>
      </c>
      <c r="D136" s="4" t="s">
        <v>545</v>
      </c>
      <c r="E136" s="6" t="s">
        <v>439</v>
      </c>
      <c r="F136" s="6" t="s">
        <v>546</v>
      </c>
      <c r="G136" s="6" t="s">
        <v>547</v>
      </c>
      <c r="H136" s="6" t="s">
        <v>25</v>
      </c>
      <c r="I136" s="6"/>
      <c r="J136" s="6" t="s">
        <v>548</v>
      </c>
      <c r="K136" s="6"/>
      <c r="L136" s="7" t="s">
        <v>28</v>
      </c>
      <c r="M136" s="7"/>
    </row>
    <row r="137" spans="1:13" ht="15" customHeight="1">
      <c r="A137" s="4" t="s">
        <v>549</v>
      </c>
      <c r="B137" s="4">
        <v>14</v>
      </c>
      <c r="C137" s="4" t="s">
        <v>507</v>
      </c>
      <c r="D137" s="4" t="s">
        <v>550</v>
      </c>
      <c r="E137" s="6" t="s">
        <v>551</v>
      </c>
      <c r="F137" s="6" t="s">
        <v>552</v>
      </c>
      <c r="G137" s="6" t="s">
        <v>553</v>
      </c>
      <c r="H137" s="6" t="s">
        <v>25</v>
      </c>
      <c r="I137" s="6"/>
      <c r="J137" s="6" t="s">
        <v>554</v>
      </c>
      <c r="K137" s="6"/>
      <c r="L137" s="7" t="s">
        <v>28</v>
      </c>
      <c r="M137" s="7"/>
    </row>
    <row r="138" spans="1:13" ht="15" customHeight="1">
      <c r="A138" s="4" t="s">
        <v>555</v>
      </c>
      <c r="B138" s="4">
        <v>14</v>
      </c>
      <c r="C138" s="4" t="s">
        <v>556</v>
      </c>
      <c r="D138" s="4" t="s">
        <v>557</v>
      </c>
      <c r="E138" s="6" t="s">
        <v>558</v>
      </c>
      <c r="F138" s="6" t="s">
        <v>559</v>
      </c>
      <c r="G138" s="6" t="s">
        <v>560</v>
      </c>
      <c r="H138" s="6" t="s">
        <v>38</v>
      </c>
      <c r="I138" s="6" t="s">
        <v>143</v>
      </c>
      <c r="J138" s="6" t="s">
        <v>561</v>
      </c>
      <c r="K138" s="6"/>
      <c r="L138" s="7" t="s">
        <v>28</v>
      </c>
      <c r="M138" s="7"/>
    </row>
    <row r="139" spans="1:13" ht="15" customHeight="1">
      <c r="A139" s="4" t="s">
        <v>562</v>
      </c>
      <c r="B139" s="4">
        <v>15</v>
      </c>
      <c r="C139" s="4" t="s">
        <v>556</v>
      </c>
      <c r="D139" s="4" t="s">
        <v>563</v>
      </c>
      <c r="E139" s="6" t="s">
        <v>564</v>
      </c>
      <c r="F139" s="6" t="s">
        <v>565</v>
      </c>
      <c r="G139" s="6" t="s">
        <v>566</v>
      </c>
      <c r="H139" s="6" t="s">
        <v>38</v>
      </c>
      <c r="I139" s="6" t="s">
        <v>567</v>
      </c>
      <c r="J139" s="6" t="s">
        <v>568</v>
      </c>
      <c r="K139" s="6"/>
      <c r="L139" s="7" t="s">
        <v>28</v>
      </c>
      <c r="M139" s="7"/>
    </row>
    <row r="140" spans="1:13" ht="15" customHeight="1">
      <c r="A140" s="4" t="s">
        <v>569</v>
      </c>
      <c r="B140" s="4">
        <v>15</v>
      </c>
      <c r="C140" s="4" t="s">
        <v>556</v>
      </c>
      <c r="D140" s="4" t="s">
        <v>570</v>
      </c>
      <c r="E140" s="6" t="s">
        <v>571</v>
      </c>
      <c r="F140" s="6" t="s">
        <v>572</v>
      </c>
      <c r="G140" s="6" t="s">
        <v>566</v>
      </c>
      <c r="H140" s="6" t="s">
        <v>38</v>
      </c>
      <c r="I140" s="6" t="s">
        <v>573</v>
      </c>
      <c r="J140" s="6" t="s">
        <v>574</v>
      </c>
      <c r="K140" s="6"/>
      <c r="L140" s="7" t="s">
        <v>28</v>
      </c>
      <c r="M140" s="7"/>
    </row>
    <row r="141" spans="1:13" ht="15" customHeight="1">
      <c r="A141" s="4" t="s">
        <v>575</v>
      </c>
      <c r="B141" s="4">
        <v>15</v>
      </c>
      <c r="C141" s="4" t="s">
        <v>556</v>
      </c>
      <c r="D141" s="4" t="s">
        <v>576</v>
      </c>
      <c r="E141" s="6" t="s">
        <v>551</v>
      </c>
      <c r="F141" s="6" t="s">
        <v>577</v>
      </c>
      <c r="G141" s="6" t="s">
        <v>566</v>
      </c>
      <c r="H141" s="6" t="s">
        <v>38</v>
      </c>
      <c r="I141" s="6"/>
      <c r="J141" s="6" t="s">
        <v>574</v>
      </c>
      <c r="K141" s="6"/>
      <c r="L141" s="7" t="s">
        <v>28</v>
      </c>
      <c r="M141" s="7"/>
    </row>
    <row r="142" spans="1:13" ht="15" customHeight="1">
      <c r="A142" s="4" t="s">
        <v>578</v>
      </c>
      <c r="B142" s="4">
        <v>15</v>
      </c>
      <c r="C142" s="4" t="s">
        <v>579</v>
      </c>
      <c r="D142" s="4" t="s">
        <v>580</v>
      </c>
      <c r="E142" s="6" t="s">
        <v>558</v>
      </c>
      <c r="F142" s="6" t="s">
        <v>559</v>
      </c>
      <c r="G142" s="6" t="s">
        <v>566</v>
      </c>
      <c r="H142" s="6" t="s">
        <v>38</v>
      </c>
      <c r="I142" s="6"/>
      <c r="J142" s="6" t="s">
        <v>574</v>
      </c>
      <c r="K142" s="6"/>
      <c r="L142" s="7" t="s">
        <v>28</v>
      </c>
      <c r="M142" s="7"/>
    </row>
    <row r="143" spans="1:13" ht="15" customHeight="1">
      <c r="A143" s="4" t="s">
        <v>581</v>
      </c>
      <c r="B143" s="4">
        <v>16</v>
      </c>
      <c r="C143" s="4" t="s">
        <v>579</v>
      </c>
      <c r="D143" s="4" t="s">
        <v>582</v>
      </c>
      <c r="E143" s="6" t="s">
        <v>564</v>
      </c>
      <c r="F143" s="6" t="s">
        <v>583</v>
      </c>
      <c r="G143" s="6" t="s">
        <v>566</v>
      </c>
      <c r="H143" s="6" t="s">
        <v>38</v>
      </c>
      <c r="I143" s="6" t="s">
        <v>584</v>
      </c>
      <c r="J143" s="6" t="s">
        <v>568</v>
      </c>
      <c r="K143" s="6"/>
      <c r="L143" s="7" t="s">
        <v>28</v>
      </c>
      <c r="M143" s="7"/>
    </row>
    <row r="144" spans="1:13" ht="15" customHeight="1">
      <c r="A144" s="4" t="s">
        <v>585</v>
      </c>
      <c r="B144" s="4">
        <v>16</v>
      </c>
      <c r="C144" s="4" t="s">
        <v>579</v>
      </c>
      <c r="D144" s="4" t="s">
        <v>586</v>
      </c>
      <c r="E144" s="6" t="s">
        <v>571</v>
      </c>
      <c r="F144" s="6" t="s">
        <v>572</v>
      </c>
      <c r="G144" s="6" t="s">
        <v>566</v>
      </c>
      <c r="H144" s="6" t="s">
        <v>38</v>
      </c>
      <c r="I144" s="6" t="s">
        <v>573</v>
      </c>
      <c r="J144" s="6" t="s">
        <v>574</v>
      </c>
      <c r="K144" s="6"/>
      <c r="L144" s="7" t="s">
        <v>28</v>
      </c>
      <c r="M144" s="7"/>
    </row>
    <row r="145" spans="1:13" ht="15" customHeight="1">
      <c r="A145" s="4" t="s">
        <v>587</v>
      </c>
      <c r="B145" s="4">
        <v>16</v>
      </c>
      <c r="C145" s="4" t="s">
        <v>579</v>
      </c>
      <c r="D145" s="4" t="s">
        <v>588</v>
      </c>
      <c r="E145" s="6" t="s">
        <v>551</v>
      </c>
      <c r="F145" s="6" t="s">
        <v>589</v>
      </c>
      <c r="G145" s="6" t="s">
        <v>566</v>
      </c>
      <c r="H145" s="6" t="s">
        <v>38</v>
      </c>
      <c r="I145" s="6"/>
      <c r="J145" s="6" t="s">
        <v>574</v>
      </c>
      <c r="K145" s="6"/>
      <c r="L145" s="7" t="s">
        <v>28</v>
      </c>
      <c r="M145" s="7"/>
    </row>
    <row r="146" spans="1:13" ht="15" customHeight="1">
      <c r="A146" s="4" t="s">
        <v>590</v>
      </c>
      <c r="B146" s="4">
        <v>16</v>
      </c>
      <c r="C146" s="4" t="s">
        <v>591</v>
      </c>
      <c r="D146" s="4" t="s">
        <v>592</v>
      </c>
      <c r="E146" s="6" t="s">
        <v>558</v>
      </c>
      <c r="F146" s="6" t="s">
        <v>593</v>
      </c>
      <c r="G146" s="6" t="s">
        <v>566</v>
      </c>
      <c r="H146" s="6" t="s">
        <v>38</v>
      </c>
      <c r="I146" s="6"/>
      <c r="J146" s="6" t="s">
        <v>594</v>
      </c>
      <c r="K146" s="6"/>
      <c r="L146" s="7" t="s">
        <v>28</v>
      </c>
      <c r="M146" s="7"/>
    </row>
    <row r="147" spans="1:13" ht="15" customHeight="1">
      <c r="A147" s="4" t="s">
        <v>595</v>
      </c>
      <c r="B147" s="4">
        <v>17</v>
      </c>
      <c r="C147" s="4" t="s">
        <v>596</v>
      </c>
      <c r="D147" s="4" t="s">
        <v>597</v>
      </c>
      <c r="E147" s="6" t="s">
        <v>22</v>
      </c>
      <c r="F147" s="6" t="s">
        <v>198</v>
      </c>
      <c r="G147" s="6" t="s">
        <v>31</v>
      </c>
      <c r="H147" s="6" t="s">
        <v>38</v>
      </c>
      <c r="I147" s="6" t="s">
        <v>200</v>
      </c>
      <c r="J147" s="6" t="s">
        <v>598</v>
      </c>
      <c r="K147" s="6"/>
      <c r="L147" s="7" t="s">
        <v>28</v>
      </c>
      <c r="M147" s="7"/>
    </row>
    <row r="148" spans="1:13" ht="15" customHeight="1">
      <c r="A148" s="4" t="s">
        <v>599</v>
      </c>
      <c r="B148" s="4">
        <v>17</v>
      </c>
      <c r="C148" s="4" t="s">
        <v>596</v>
      </c>
      <c r="D148" s="4" t="s">
        <v>597</v>
      </c>
      <c r="E148" s="6" t="s">
        <v>22</v>
      </c>
      <c r="F148" s="6" t="s">
        <v>600</v>
      </c>
      <c r="G148" s="6" t="s">
        <v>24</v>
      </c>
      <c r="H148" s="6" t="s">
        <v>25</v>
      </c>
      <c r="I148" s="6" t="s">
        <v>601</v>
      </c>
      <c r="J148" s="6" t="s">
        <v>602</v>
      </c>
      <c r="K148" s="6"/>
      <c r="L148" s="7" t="s">
        <v>28</v>
      </c>
      <c r="M148" s="7"/>
    </row>
    <row r="149" spans="1:13" ht="15" customHeight="1">
      <c r="A149" s="4" t="s">
        <v>603</v>
      </c>
      <c r="B149" s="4">
        <v>17</v>
      </c>
      <c r="C149" s="4" t="s">
        <v>596</v>
      </c>
      <c r="D149" s="4" t="s">
        <v>597</v>
      </c>
      <c r="E149" s="6" t="s">
        <v>604</v>
      </c>
      <c r="F149" s="6" t="s">
        <v>30</v>
      </c>
      <c r="G149" s="6" t="s">
        <v>30</v>
      </c>
      <c r="H149" s="6" t="s">
        <v>38</v>
      </c>
      <c r="I149" s="6" t="s">
        <v>605</v>
      </c>
      <c r="J149" s="6" t="s">
        <v>606</v>
      </c>
      <c r="K149" s="6"/>
      <c r="L149" s="7" t="s">
        <v>28</v>
      </c>
      <c r="M149" s="7"/>
    </row>
    <row r="150" spans="1:13" ht="15" customHeight="1">
      <c r="A150" s="4" t="s">
        <v>607</v>
      </c>
      <c r="B150" s="4">
        <v>17</v>
      </c>
      <c r="C150" s="4" t="s">
        <v>596</v>
      </c>
      <c r="D150" s="4" t="s">
        <v>608</v>
      </c>
      <c r="E150" s="6" t="s">
        <v>609</v>
      </c>
      <c r="F150" s="6" t="s">
        <v>610</v>
      </c>
      <c r="G150" s="6" t="s">
        <v>31</v>
      </c>
      <c r="H150" s="6" t="s">
        <v>38</v>
      </c>
      <c r="I150" s="6" t="s">
        <v>611</v>
      </c>
      <c r="J150" s="6" t="s">
        <v>612</v>
      </c>
      <c r="K150" s="6"/>
      <c r="L150" s="7" t="s">
        <v>28</v>
      </c>
      <c r="M150" s="7"/>
    </row>
    <row r="151" spans="1:13" ht="15" customHeight="1">
      <c r="A151" s="4" t="s">
        <v>613</v>
      </c>
      <c r="B151" s="4">
        <v>17</v>
      </c>
      <c r="C151" s="4" t="s">
        <v>596</v>
      </c>
      <c r="D151" s="4" t="s">
        <v>608</v>
      </c>
      <c r="E151" s="6" t="s">
        <v>614</v>
      </c>
      <c r="F151" s="6" t="s">
        <v>615</v>
      </c>
      <c r="G151" s="6" t="s">
        <v>334</v>
      </c>
      <c r="H151" s="6" t="s">
        <v>38</v>
      </c>
      <c r="I151" s="6" t="s">
        <v>616</v>
      </c>
      <c r="J151" s="6" t="s">
        <v>617</v>
      </c>
      <c r="K151" s="6"/>
      <c r="L151" s="7" t="s">
        <v>28</v>
      </c>
      <c r="M151" s="7"/>
    </row>
    <row r="152" spans="1:13" ht="21.5" customHeight="1">
      <c r="A152" s="4" t="s">
        <v>618</v>
      </c>
      <c r="B152" s="4">
        <v>17</v>
      </c>
      <c r="C152" s="4" t="s">
        <v>596</v>
      </c>
      <c r="D152" s="4" t="s">
        <v>608</v>
      </c>
      <c r="E152" s="6" t="s">
        <v>619</v>
      </c>
      <c r="F152" s="6" t="s">
        <v>620</v>
      </c>
      <c r="G152" s="6" t="s">
        <v>621</v>
      </c>
      <c r="H152" s="6" t="s">
        <v>38</v>
      </c>
      <c r="I152" s="6" t="s">
        <v>622</v>
      </c>
      <c r="J152" s="6" t="s">
        <v>623</v>
      </c>
      <c r="K152" s="6"/>
      <c r="L152" s="7" t="s">
        <v>28</v>
      </c>
      <c r="M152" s="7"/>
    </row>
    <row r="153" spans="1:13" ht="15" customHeight="1">
      <c r="A153" s="4" t="s">
        <v>624</v>
      </c>
      <c r="B153" s="4">
        <v>17</v>
      </c>
      <c r="C153" s="4" t="s">
        <v>596</v>
      </c>
      <c r="D153" s="4" t="s">
        <v>608</v>
      </c>
      <c r="E153" s="6" t="s">
        <v>619</v>
      </c>
      <c r="F153" s="6" t="s">
        <v>625</v>
      </c>
      <c r="G153" s="6" t="s">
        <v>328</v>
      </c>
      <c r="H153" s="6" t="s">
        <v>38</v>
      </c>
      <c r="I153" s="6" t="s">
        <v>329</v>
      </c>
      <c r="J153" s="6" t="s">
        <v>626</v>
      </c>
      <c r="K153" s="6"/>
      <c r="L153" s="7" t="s">
        <v>28</v>
      </c>
      <c r="M153" s="7"/>
    </row>
  </sheetData>
  <mergeCells count="2">
    <mergeCell ref="A2:M2"/>
    <mergeCell ref="A3:M3"/>
  </mergeCells>
  <conditionalFormatting sqref="L8:L153">
    <cfRule type="containsText" dxfId="1" priority="1" operator="containsText" text="Aprobado"/>
    <cfRule type="containsText" dxfId="0" priority="2" operator="containsText" text="Ajustar"/>
  </conditionalFormatting>
  <dataValidations count="1">
    <dataValidation type="list" sqref="L8:L153" xr:uid="{00000000-0002-0000-0000-000000000000}">
      <formula1>"Pendiente,Aprobado,Ajustar,Eliminar"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2:D21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9" customWidth="1"/>
    <col min="2" max="2" width="30" customWidth="1"/>
    <col min="3" max="3" width="47" customWidth="1"/>
    <col min="4" max="4" width="38" customWidth="1"/>
  </cols>
  <sheetData>
    <row r="2" spans="1:4" ht="19">
      <c r="A2" s="13" t="s">
        <v>627</v>
      </c>
      <c r="B2" s="13"/>
      <c r="C2" s="13"/>
      <c r="D2" s="13"/>
    </row>
    <row r="4" spans="1:4" ht="28" customHeight="1">
      <c r="A4" s="10" t="s">
        <v>7</v>
      </c>
      <c r="B4" s="10" t="s">
        <v>628</v>
      </c>
      <c r="C4" s="10" t="s">
        <v>629</v>
      </c>
      <c r="D4" s="10" t="s">
        <v>630</v>
      </c>
    </row>
    <row r="5" spans="1:4" ht="15" customHeight="1">
      <c r="A5" s="11">
        <v>1</v>
      </c>
      <c r="B5" s="11" t="s">
        <v>21</v>
      </c>
      <c r="C5" s="11" t="s">
        <v>631</v>
      </c>
      <c r="D5" s="11" t="s">
        <v>632</v>
      </c>
    </row>
    <row r="6" spans="1:4" ht="15" customHeight="1">
      <c r="A6" s="11">
        <v>2</v>
      </c>
      <c r="B6" s="11" t="s">
        <v>633</v>
      </c>
      <c r="C6" s="11" t="s">
        <v>634</v>
      </c>
      <c r="D6" s="11" t="s">
        <v>635</v>
      </c>
    </row>
    <row r="7" spans="1:4" ht="15" customHeight="1">
      <c r="A7" s="11">
        <v>3</v>
      </c>
      <c r="B7" s="11" t="s">
        <v>100</v>
      </c>
      <c r="C7" s="11" t="s">
        <v>636</v>
      </c>
      <c r="D7" s="11" t="s">
        <v>637</v>
      </c>
    </row>
    <row r="8" spans="1:4" ht="15" customHeight="1">
      <c r="A8" s="11">
        <v>4</v>
      </c>
      <c r="B8" s="11" t="s">
        <v>638</v>
      </c>
      <c r="C8" s="11" t="s">
        <v>639</v>
      </c>
      <c r="D8" s="11" t="s">
        <v>532</v>
      </c>
    </row>
    <row r="9" spans="1:4" ht="15" customHeight="1">
      <c r="A9" s="11">
        <v>5</v>
      </c>
      <c r="B9" s="11" t="s">
        <v>141</v>
      </c>
      <c r="C9" s="11" t="s">
        <v>640</v>
      </c>
      <c r="D9" s="11" t="s">
        <v>641</v>
      </c>
    </row>
    <row r="10" spans="1:4" ht="15" customHeight="1">
      <c r="A10" s="11">
        <v>6</v>
      </c>
      <c r="B10" s="11" t="s">
        <v>642</v>
      </c>
      <c r="C10" s="11" t="s">
        <v>643</v>
      </c>
      <c r="D10" s="11" t="s">
        <v>644</v>
      </c>
    </row>
    <row r="11" spans="1:4" ht="15" customHeight="1">
      <c r="A11" s="11">
        <v>7</v>
      </c>
      <c r="B11" s="11" t="s">
        <v>645</v>
      </c>
      <c r="C11" s="11" t="s">
        <v>646</v>
      </c>
      <c r="D11" s="11" t="s">
        <v>281</v>
      </c>
    </row>
    <row r="12" spans="1:4" ht="15" customHeight="1">
      <c r="A12" s="11">
        <v>8</v>
      </c>
      <c r="B12" s="11" t="s">
        <v>190</v>
      </c>
      <c r="C12" s="11" t="s">
        <v>647</v>
      </c>
      <c r="D12" s="11" t="s">
        <v>648</v>
      </c>
    </row>
    <row r="13" spans="1:4" ht="15" customHeight="1">
      <c r="A13" s="11">
        <v>9</v>
      </c>
      <c r="B13" s="11" t="s">
        <v>344</v>
      </c>
      <c r="C13" s="11" t="s">
        <v>649</v>
      </c>
      <c r="D13" s="11" t="s">
        <v>650</v>
      </c>
    </row>
    <row r="14" spans="1:4" ht="15" customHeight="1">
      <c r="A14" s="11">
        <v>10</v>
      </c>
      <c r="B14" s="11" t="s">
        <v>651</v>
      </c>
      <c r="C14" s="11" t="s">
        <v>652</v>
      </c>
      <c r="D14" s="11" t="s">
        <v>653</v>
      </c>
    </row>
    <row r="15" spans="1:4" ht="15" customHeight="1">
      <c r="A15" s="11">
        <v>11</v>
      </c>
      <c r="B15" s="11" t="s">
        <v>654</v>
      </c>
      <c r="C15" s="11" t="s">
        <v>655</v>
      </c>
      <c r="D15" s="11" t="s">
        <v>656</v>
      </c>
    </row>
    <row r="16" spans="1:4" ht="15" customHeight="1">
      <c r="A16" s="11">
        <v>12</v>
      </c>
      <c r="B16" s="11" t="s">
        <v>657</v>
      </c>
      <c r="C16" s="11" t="s">
        <v>658</v>
      </c>
      <c r="D16" s="11" t="s">
        <v>659</v>
      </c>
    </row>
    <row r="17" spans="1:4" ht="15" customHeight="1">
      <c r="A17" s="11">
        <v>13</v>
      </c>
      <c r="B17" s="11" t="s">
        <v>660</v>
      </c>
      <c r="C17" s="11" t="s">
        <v>661</v>
      </c>
      <c r="D17" s="11" t="s">
        <v>662</v>
      </c>
    </row>
    <row r="18" spans="1:4" ht="15" customHeight="1">
      <c r="A18" s="11">
        <v>14</v>
      </c>
      <c r="B18" s="11" t="s">
        <v>507</v>
      </c>
      <c r="C18" s="11" t="s">
        <v>663</v>
      </c>
      <c r="D18" s="11" t="s">
        <v>664</v>
      </c>
    </row>
    <row r="19" spans="1:4" ht="15" customHeight="1">
      <c r="A19" s="11">
        <v>15</v>
      </c>
      <c r="B19" s="11" t="s">
        <v>665</v>
      </c>
      <c r="C19" s="11" t="s">
        <v>666</v>
      </c>
      <c r="D19" s="11" t="s">
        <v>667</v>
      </c>
    </row>
    <row r="20" spans="1:4" ht="15" customHeight="1">
      <c r="A20" s="11">
        <v>16</v>
      </c>
      <c r="B20" s="11" t="s">
        <v>668</v>
      </c>
      <c r="C20" s="11" t="s">
        <v>669</v>
      </c>
      <c r="D20" s="11" t="s">
        <v>667</v>
      </c>
    </row>
    <row r="21" spans="1:4" ht="15" customHeight="1">
      <c r="A21" s="11">
        <v>17</v>
      </c>
      <c r="B21" s="11" t="s">
        <v>596</v>
      </c>
      <c r="C21" s="11" t="s">
        <v>670</v>
      </c>
      <c r="D21" s="11" t="s">
        <v>671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2:D32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2" width="25" customWidth="1"/>
    <col min="3" max="3" width="36" customWidth="1"/>
    <col min="4" max="4" width="46" customWidth="1"/>
  </cols>
  <sheetData>
    <row r="2" spans="1:4" ht="19">
      <c r="A2" s="13" t="s">
        <v>672</v>
      </c>
      <c r="B2" s="13"/>
      <c r="C2" s="13"/>
      <c r="D2" s="13"/>
    </row>
    <row r="4" spans="1:4">
      <c r="A4" s="8" t="s">
        <v>269</v>
      </c>
      <c r="B4" s="8" t="s">
        <v>673</v>
      </c>
      <c r="C4" s="8" t="s">
        <v>674</v>
      </c>
      <c r="D4" s="8" t="s">
        <v>675</v>
      </c>
    </row>
    <row r="5" spans="1:4">
      <c r="A5" s="9" t="s">
        <v>676</v>
      </c>
      <c r="B5" s="9" t="s">
        <v>677</v>
      </c>
      <c r="C5" s="9" t="s">
        <v>678</v>
      </c>
      <c r="D5" s="12"/>
    </row>
    <row r="6" spans="1:4">
      <c r="A6" s="9" t="s">
        <v>676</v>
      </c>
      <c r="B6" s="9" t="s">
        <v>679</v>
      </c>
      <c r="C6" s="9" t="s">
        <v>45</v>
      </c>
      <c r="D6" s="12"/>
    </row>
    <row r="7" spans="1:4">
      <c r="A7" s="9" t="s">
        <v>676</v>
      </c>
      <c r="B7" s="9" t="s">
        <v>680</v>
      </c>
      <c r="C7" s="9" t="s">
        <v>681</v>
      </c>
      <c r="D7" s="12"/>
    </row>
    <row r="8" spans="1:4">
      <c r="A8" s="9" t="s">
        <v>682</v>
      </c>
      <c r="B8" s="9" t="s">
        <v>683</v>
      </c>
      <c r="C8" s="9" t="s">
        <v>684</v>
      </c>
      <c r="D8" s="12"/>
    </row>
    <row r="9" spans="1:4">
      <c r="A9" s="9" t="s">
        <v>682</v>
      </c>
      <c r="B9" s="9" t="s">
        <v>685</v>
      </c>
      <c r="C9" s="9" t="s">
        <v>686</v>
      </c>
      <c r="D9" s="12"/>
    </row>
    <row r="10" spans="1:4">
      <c r="A10" s="9" t="s">
        <v>682</v>
      </c>
      <c r="B10" s="9" t="s">
        <v>687</v>
      </c>
      <c r="C10" s="9" t="s">
        <v>688</v>
      </c>
      <c r="D10" s="12"/>
    </row>
    <row r="11" spans="1:4">
      <c r="A11" s="9" t="s">
        <v>682</v>
      </c>
      <c r="B11" s="9" t="s">
        <v>689</v>
      </c>
      <c r="C11" s="9" t="s">
        <v>690</v>
      </c>
      <c r="D11" s="12"/>
    </row>
    <row r="12" spans="1:4">
      <c r="A12" s="9" t="s">
        <v>691</v>
      </c>
      <c r="B12" s="9" t="s">
        <v>692</v>
      </c>
      <c r="C12" s="9" t="s">
        <v>693</v>
      </c>
      <c r="D12" s="12"/>
    </row>
    <row r="13" spans="1:4">
      <c r="A13" s="9" t="s">
        <v>691</v>
      </c>
      <c r="B13" s="9" t="s">
        <v>694</v>
      </c>
      <c r="C13" s="9" t="s">
        <v>695</v>
      </c>
      <c r="D13" s="12"/>
    </row>
    <row r="14" spans="1:4">
      <c r="A14" s="9" t="s">
        <v>160</v>
      </c>
      <c r="B14" s="9" t="s">
        <v>696</v>
      </c>
      <c r="C14" s="9" t="s">
        <v>697</v>
      </c>
      <c r="D14" s="12"/>
    </row>
    <row r="15" spans="1:4">
      <c r="A15" s="9" t="s">
        <v>160</v>
      </c>
      <c r="B15" s="9" t="s">
        <v>698</v>
      </c>
      <c r="C15" s="9" t="s">
        <v>699</v>
      </c>
      <c r="D15" s="12"/>
    </row>
    <row r="16" spans="1:4">
      <c r="A16" s="9" t="s">
        <v>240</v>
      </c>
      <c r="B16" s="9" t="s">
        <v>700</v>
      </c>
      <c r="C16" s="9" t="s">
        <v>701</v>
      </c>
      <c r="D16" s="12"/>
    </row>
    <row r="17" spans="1:4">
      <c r="A17" s="9" t="s">
        <v>240</v>
      </c>
      <c r="B17" s="9" t="s">
        <v>702</v>
      </c>
      <c r="C17" s="9" t="s">
        <v>703</v>
      </c>
      <c r="D17" s="12"/>
    </row>
    <row r="18" spans="1:4">
      <c r="A18" s="9" t="s">
        <v>240</v>
      </c>
      <c r="B18" s="9" t="s">
        <v>704</v>
      </c>
      <c r="C18" s="9" t="s">
        <v>705</v>
      </c>
      <c r="D18" s="12"/>
    </row>
    <row r="19" spans="1:4">
      <c r="A19" s="9" t="s">
        <v>706</v>
      </c>
      <c r="B19" s="9" t="s">
        <v>707</v>
      </c>
      <c r="C19" s="9" t="s">
        <v>708</v>
      </c>
      <c r="D19" s="12"/>
    </row>
    <row r="20" spans="1:4">
      <c r="A20" s="9" t="s">
        <v>706</v>
      </c>
      <c r="B20" s="9" t="s">
        <v>709</v>
      </c>
      <c r="C20" s="9" t="s">
        <v>710</v>
      </c>
      <c r="D20" s="12"/>
    </row>
    <row r="21" spans="1:4">
      <c r="A21" s="9" t="s">
        <v>706</v>
      </c>
      <c r="B21" s="9" t="s">
        <v>700</v>
      </c>
      <c r="C21" s="9" t="s">
        <v>711</v>
      </c>
      <c r="D21" s="12"/>
    </row>
    <row r="22" spans="1:4">
      <c r="A22" s="9" t="s">
        <v>712</v>
      </c>
      <c r="B22" s="9" t="s">
        <v>713</v>
      </c>
      <c r="C22" s="9" t="s">
        <v>28</v>
      </c>
      <c r="D22" s="12"/>
    </row>
    <row r="23" spans="1:4">
      <c r="A23" s="9" t="s">
        <v>712</v>
      </c>
      <c r="B23" s="9" t="s">
        <v>714</v>
      </c>
      <c r="C23" s="9" t="s">
        <v>715</v>
      </c>
      <c r="D23" s="12"/>
    </row>
    <row r="24" spans="1:4">
      <c r="A24" s="9" t="s">
        <v>712</v>
      </c>
      <c r="B24" s="9" t="s">
        <v>716</v>
      </c>
      <c r="C24" s="9" t="s">
        <v>717</v>
      </c>
      <c r="D24" s="12"/>
    </row>
    <row r="25" spans="1:4">
      <c r="A25" s="9" t="s">
        <v>718</v>
      </c>
      <c r="B25" s="9" t="s">
        <v>719</v>
      </c>
      <c r="C25" s="9" t="s">
        <v>343</v>
      </c>
      <c r="D25" s="12"/>
    </row>
    <row r="26" spans="1:4">
      <c r="A26" s="9" t="s">
        <v>718</v>
      </c>
      <c r="B26" s="9" t="s">
        <v>720</v>
      </c>
      <c r="C26" s="9" t="s">
        <v>721</v>
      </c>
      <c r="D26" s="12"/>
    </row>
    <row r="27" spans="1:4">
      <c r="A27" s="9" t="s">
        <v>718</v>
      </c>
      <c r="B27" s="9" t="s">
        <v>722</v>
      </c>
      <c r="C27" s="9" t="s">
        <v>723</v>
      </c>
      <c r="D27" s="12"/>
    </row>
    <row r="28" spans="1:4">
      <c r="A28" s="9" t="s">
        <v>718</v>
      </c>
      <c r="B28" s="9" t="s">
        <v>724</v>
      </c>
      <c r="C28" s="9" t="s">
        <v>725</v>
      </c>
      <c r="D28" s="12"/>
    </row>
    <row r="29" spans="1:4">
      <c r="A29" s="9" t="s">
        <v>718</v>
      </c>
      <c r="B29" s="9" t="s">
        <v>694</v>
      </c>
      <c r="C29" s="9" t="s">
        <v>726</v>
      </c>
      <c r="D29" s="12"/>
    </row>
    <row r="30" spans="1:4">
      <c r="A30" s="9" t="s">
        <v>499</v>
      </c>
      <c r="B30" s="9" t="s">
        <v>727</v>
      </c>
      <c r="C30" s="9" t="s">
        <v>728</v>
      </c>
      <c r="D30" s="12"/>
    </row>
    <row r="31" spans="1:4">
      <c r="A31" s="9" t="s">
        <v>499</v>
      </c>
      <c r="B31" s="9" t="s">
        <v>729</v>
      </c>
      <c r="C31" s="9" t="s">
        <v>730</v>
      </c>
      <c r="D31" s="12"/>
    </row>
    <row r="32" spans="1:4">
      <c r="A32" s="9" t="s">
        <v>499</v>
      </c>
      <c r="B32" s="9" t="s">
        <v>731</v>
      </c>
      <c r="C32" s="9" t="s">
        <v>732</v>
      </c>
      <c r="D32" s="12"/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demo</vt:lpstr>
      <vt:lpstr>Flujo demo</vt:lpstr>
      <vt:lpstr>Catálogos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Alejandro Peña Vargas</cp:lastModifiedBy>
  <dcterms:modified xsi:type="dcterms:W3CDTF">2026-09-10T19:09:51Z</dcterms:modified>
</cp:coreProperties>
</file>